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REE_AUTOMATIONS\"/>
    </mc:Choice>
  </mc:AlternateContent>
  <xr:revisionPtr revIDLastSave="0" documentId="13_ncr:1_{B1451559-B81B-4DC0-BE7B-305C957B75A0}" xr6:coauthVersionLast="47" xr6:coauthVersionMax="47" xr10:uidLastSave="{00000000-0000-0000-0000-000000000000}"/>
  <bookViews>
    <workbookView xWindow="9795" yWindow="3525" windowWidth="18930" windowHeight="12855" tabRatio="867" activeTab="1" xr2:uid="{6D20EF5C-9ABD-4D76-BB21-84D89ECB8496}"/>
  </bookViews>
  <sheets>
    <sheet name="NitroCELL_MAIN" sheetId="10" r:id="rId1"/>
    <sheet name="exportSTEPs" sheetId="22" r:id="rId2"/>
    <sheet name="DataTables" sheetId="23" r:id="rId3"/>
    <sheet name="NitroCELL_MATRIX" sheetId="18" r:id="rId4"/>
  </sheets>
  <definedNames>
    <definedName name="_xlnm._FilterDatabase" localSheetId="3" hidden="1">NitroCELL_MATRIX!$B$7:$C$402</definedName>
    <definedName name="ExternalData_1" localSheetId="3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4" i="22" l="1"/>
  <c r="M14" i="22"/>
  <c r="L14" i="22"/>
  <c r="K14" i="22"/>
  <c r="J14" i="22"/>
  <c r="D14" i="22"/>
  <c r="B13" i="22" a="1"/>
  <c r="B13" i="22" s="1"/>
  <c r="B23" i="22" a="1"/>
  <c r="B23" i="22" s="1"/>
  <c r="L23" i="22" s="1"/>
  <c r="N21" i="22"/>
  <c r="M21" i="22"/>
  <c r="L21" i="22"/>
  <c r="K21" i="22"/>
  <c r="J21" i="22"/>
  <c r="D21" i="22"/>
  <c r="B19" i="22" a="1"/>
  <c r="B19" i="22" s="1"/>
  <c r="B20" i="22" a="1"/>
  <c r="B20" i="22" s="1"/>
  <c r="N10" i="22"/>
  <c r="M10" i="22"/>
  <c r="L10" i="22"/>
  <c r="K10" i="22"/>
  <c r="J10" i="22"/>
  <c r="D10" i="22"/>
  <c r="N17" i="22"/>
  <c r="M17" i="22"/>
  <c r="L17" i="22"/>
  <c r="K17" i="22"/>
  <c r="J17" i="22"/>
  <c r="D17" i="22"/>
  <c r="D18" i="22"/>
  <c r="J18" i="22"/>
  <c r="K18" i="22"/>
  <c r="L18" i="22"/>
  <c r="M18" i="22"/>
  <c r="N18" i="22"/>
  <c r="N15" i="22"/>
  <c r="M15" i="22"/>
  <c r="L15" i="22"/>
  <c r="K15" i="22"/>
  <c r="J15" i="22"/>
  <c r="D15" i="22"/>
  <c r="B16" i="22" a="1"/>
  <c r="B16" i="22" s="1"/>
  <c r="N24" i="22"/>
  <c r="M24" i="22"/>
  <c r="L24" i="22"/>
  <c r="K24" i="22"/>
  <c r="J24" i="22"/>
  <c r="D24" i="22"/>
  <c r="N22" i="22"/>
  <c r="M22" i="22"/>
  <c r="L22" i="22"/>
  <c r="K22" i="22"/>
  <c r="J22" i="22"/>
  <c r="D22" i="22"/>
  <c r="L13" i="22" l="1"/>
  <c r="D13" i="22"/>
  <c r="N13" i="22"/>
  <c r="M13" i="22"/>
  <c r="K13" i="22"/>
  <c r="J13" i="22"/>
  <c r="K16" i="22"/>
  <c r="L16" i="22"/>
  <c r="M16" i="22"/>
  <c r="N16" i="22"/>
  <c r="D16" i="22"/>
  <c r="J16" i="22"/>
  <c r="M23" i="22"/>
  <c r="N23" i="22"/>
  <c r="K23" i="22"/>
  <c r="D23" i="22"/>
  <c r="J23" i="22"/>
  <c r="B12" i="22" a="1"/>
  <c r="B12" i="22" s="1"/>
  <c r="B9" i="22" a="1"/>
  <c r="B9" i="22" s="1"/>
  <c r="D6" i="22"/>
  <c r="J6" i="22"/>
  <c r="K6" i="22"/>
  <c r="L6" i="22"/>
  <c r="M6" i="22"/>
  <c r="N6" i="22"/>
  <c r="D7" i="22"/>
  <c r="J7" i="22"/>
  <c r="K7" i="22"/>
  <c r="L7" i="22"/>
  <c r="M7" i="22"/>
  <c r="N7" i="22"/>
  <c r="D8" i="22"/>
  <c r="J8" i="22"/>
  <c r="K8" i="22"/>
  <c r="L8" i="22"/>
  <c r="M8" i="22"/>
  <c r="N8" i="22"/>
  <c r="D11" i="22"/>
  <c r="J11" i="22"/>
  <c r="K11" i="22"/>
  <c r="L11" i="22"/>
  <c r="M11" i="22"/>
  <c r="N11" i="22"/>
  <c r="D20" i="22"/>
  <c r="J20" i="22"/>
  <c r="K20" i="22"/>
  <c r="L20" i="22"/>
  <c r="M20" i="22"/>
  <c r="N20" i="22"/>
  <c r="D25" i="22"/>
  <c r="J25" i="22"/>
  <c r="K25" i="22"/>
  <c r="L25" i="22"/>
  <c r="M25" i="22"/>
  <c r="N25" i="22"/>
  <c r="D26" i="22"/>
  <c r="J26" i="22"/>
  <c r="K26" i="22"/>
  <c r="L26" i="22"/>
  <c r="M26" i="22"/>
  <c r="N26" i="22"/>
  <c r="D27" i="22"/>
  <c r="J27" i="22"/>
  <c r="K27" i="22"/>
  <c r="L27" i="22"/>
  <c r="M27" i="22"/>
  <c r="N27" i="22"/>
  <c r="D28" i="22"/>
  <c r="J28" i="22"/>
  <c r="K28" i="22"/>
  <c r="L28" i="22"/>
  <c r="M28" i="22"/>
  <c r="N28" i="22"/>
  <c r="D29" i="22"/>
  <c r="J29" i="22"/>
  <c r="K29" i="22"/>
  <c r="L29" i="22"/>
  <c r="M29" i="22"/>
  <c r="N29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D241" i="22"/>
  <c r="J241" i="22"/>
  <c r="K241" i="22"/>
  <c r="L241" i="22"/>
  <c r="M241" i="22"/>
  <c r="N241" i="22"/>
  <c r="D242" i="22"/>
  <c r="J242" i="22"/>
  <c r="K242" i="22"/>
  <c r="L242" i="22"/>
  <c r="M242" i="22"/>
  <c r="N242" i="22"/>
  <c r="D243" i="22"/>
  <c r="J243" i="22"/>
  <c r="K243" i="22"/>
  <c r="L243" i="22"/>
  <c r="M243" i="22"/>
  <c r="N243" i="22"/>
  <c r="D244" i="22"/>
  <c r="J244" i="22"/>
  <c r="K244" i="22"/>
  <c r="L244" i="22"/>
  <c r="M244" i="22"/>
  <c r="N244" i="22"/>
  <c r="D245" i="22"/>
  <c r="J245" i="22"/>
  <c r="K245" i="22"/>
  <c r="L245" i="22"/>
  <c r="M245" i="22"/>
  <c r="N245" i="22"/>
  <c r="D246" i="22"/>
  <c r="J246" i="22"/>
  <c r="K246" i="22"/>
  <c r="L246" i="22"/>
  <c r="M246" i="22"/>
  <c r="N246" i="22"/>
  <c r="D247" i="22"/>
  <c r="J247" i="22"/>
  <c r="K247" i="22"/>
  <c r="L247" i="22"/>
  <c r="M247" i="22"/>
  <c r="N247" i="22"/>
  <c r="D248" i="22"/>
  <c r="J248" i="22"/>
  <c r="K248" i="22"/>
  <c r="L248" i="22"/>
  <c r="M248" i="22"/>
  <c r="N248" i="22"/>
  <c r="D249" i="22"/>
  <c r="J249" i="22"/>
  <c r="K249" i="22"/>
  <c r="L249" i="22"/>
  <c r="M249" i="22"/>
  <c r="N249" i="22"/>
  <c r="D250" i="22"/>
  <c r="J250" i="22"/>
  <c r="K250" i="22"/>
  <c r="L250" i="22"/>
  <c r="M250" i="22"/>
  <c r="N250" i="22"/>
  <c r="N5" i="22"/>
  <c r="M5" i="22"/>
  <c r="L5" i="22"/>
  <c r="K5" i="22"/>
  <c r="J5" i="22"/>
  <c r="D5" i="22"/>
  <c r="K19" i="22" l="1"/>
  <c r="N19" i="22"/>
  <c r="M19" i="22"/>
  <c r="L19" i="22"/>
  <c r="J19" i="22"/>
  <c r="D19" i="22"/>
  <c r="D12" i="22"/>
  <c r="J12" i="22"/>
  <c r="K12" i="22"/>
  <c r="L12" i="22"/>
  <c r="M12" i="22"/>
  <c r="N12" i="22"/>
  <c r="N9" i="22"/>
  <c r="D9" i="22"/>
  <c r="J9" i="22"/>
  <c r="K9" i="22"/>
  <c r="L9" i="22"/>
  <c r="M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FCEF57FA-CA78-4FB0-B0F8-5ED88D1E8D1E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1E809068-ADB8-4837-8AB2-FB242D9D0295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FA25A941-F61B-4664-88F1-7356CF13DF4B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7EA9-B316-4289-8038-CF4F5334484B}" keepAlive="1" name="Query - nc_commandsQuery" description="Connection to the 'nc_commandsQuery' query in the workbook." type="5" refreshedVersion="7" background="1" saveData="1">
    <dbPr connection="Provider=Microsoft.Mashup.OleDb.1;Data Source=$Workbook$;Location=nc_commandsQuery;Extended Properties=&quot;&quot;" command="SELECT * FROM [nc_commandsQue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<sst xmlns="http://schemas.openxmlformats.org/spreadsheetml/2006/main" count="2848" uniqueCount="1306">
  <si>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</si>
  <si>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</si>
  <si>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</si>
  <si>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</si>
  <si>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</si>
  <si>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</si>
  <si>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</si>
  <si>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</si>
  <si>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</si>
  <si>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</si>
  <si>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</si>
  <si>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</si>
  <si>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</si>
  <si>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</si>
  <si>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</si>
  <si>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</si>
  <si>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</si>
  <si>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</si>
  <si>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</si>
  <si>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</si>
  <si>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</si>
  <si>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</si>
  <si>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</si>
  <si>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</si>
  <si>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</si>
  <si>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</si>
  <si>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</si>
  <si>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</si>
  <si>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</si>
  <si>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</si>
  <si>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</si>
  <si>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</si>
  <si>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</si>
  <si>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</si>
  <si>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</si>
  <si>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</si>
  <si>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</si>
  <si>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</si>
  <si>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</si>
  <si>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</si>
  <si>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</si>
  <si>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</si>
  <si>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</si>
  <si>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</si>
  <si>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</si>
  <si>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</si>
  <si>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</si>
  <si>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</si>
  <si>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</si>
  <si>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</si>
  <si>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</si>
  <si>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</si>
  <si>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</si>
  <si>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</si>
  <si>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</si>
  <si>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</si>
  <si>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</si>
  <si>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</si>
  <si>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</si>
  <si>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</si>
  <si>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</si>
  <si>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</si>
  <si>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</si>
  <si>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Get the x/y coords of a Drawing Note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</si>
  <si>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</si>
  <si>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</si>
  <si>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</si>
  <si>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</si>
  <si>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</si>
  <si>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</si>
  <si>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</si>
  <si>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</si>
  <si>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</si>
  <si>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</si>
  <si>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</si>
  <si>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</si>
  <si>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</si>
  <si>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</si>
  <si>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</si>
  <si>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</si>
  <si>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</si>
  <si>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</si>
  <si>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</si>
  <si>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</si>
  <si>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</si>
  <si>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</si>
  <si>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</si>
  <si>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</si>
  <si>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</si>
  <si>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</si>
  <si>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</si>
  <si>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</si>
  <si>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</si>
  <si>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</si>
  <si>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</si>
  <si>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</si>
  <si>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</si>
  <si>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</si>
  <si>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</si>
  <si>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</si>
  <si>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</si>
  <si>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</si>
  <si>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</si>
  <si>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</si>
  <si>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</si>
  <si>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</si>
  <si>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</si>
  <si>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</si>
  <si>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</si>
  <si>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</si>
  <si>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</si>
  <si>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</si>
  <si>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</si>
  <si>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</si>
  <si>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</si>
  <si>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</si>
  <si>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</si>
  <si>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</si>
  <si>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</si>
  <si>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</si>
  <si>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</si>
  <si>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</si>
  <si>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</si>
  <si>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</si>
  <si>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</si>
  <si>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</si>
  <si>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</si>
  <si>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</si>
  <si>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</si>
  <si>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</si>
  <si>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</si>
  <si>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</si>
  <si>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</si>
  <si>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</si>
  <si>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</si>
  <si>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</si>
  <si>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</si>
  <si>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</si>
  <si>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</si>
  <si>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</si>
  <si>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</si>
  <si>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</si>
  <si>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</si>
  <si>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</si>
  <si>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</si>
  <si>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</si>
  <si>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</si>
  <si>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</si>
  <si>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</si>
  <si>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</si>
  <si>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</si>
  <si>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</si>
  <si>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</si>
  <si>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</si>
  <si>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</si>
  <si>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</si>
  <si>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</si>
  <si>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</si>
  <si>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</si>
  <si>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</si>
  <si>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</si>
  <si>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</si>
  <si>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</si>
  <si>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</si>
  <si>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</si>
  <si>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</si>
  <si>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</si>
  <si>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</si>
  <si>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</si>
  <si>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</si>
  <si>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</si>
  <si>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</si>
  <si>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</si>
  <si>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</si>
  <si>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</si>
  <si>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</si>
  <si>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</si>
  <si>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</si>
  <si>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</si>
  <si>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</si>
  <si>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</si>
  <si>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</si>
  <si>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</si>
  <si>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</si>
  <si>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</si>
  <si>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</si>
  <si>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</si>
  <si>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</si>
  <si>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</si>
  <si>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</si>
  <si>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</si>
  <si>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</si>
  <si>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</si>
  <si>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</si>
  <si>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</si>
  <si>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</si>
  <si>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</si>
  <si>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</si>
  <si>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</si>
  <si>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</si>
  <si>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</si>
  <si>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</si>
  <si>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</si>
  <si>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</si>
  <si>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</si>
  <si>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</si>
  <si>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</si>
  <si>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</si>
  <si>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</si>
  <si>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</si>
  <si>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</si>
  <si>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</si>
  <si>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</si>
  <si>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</si>
  <si>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</si>
  <si>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</si>
  <si>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</si>
  <si>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</si>
  <si>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</si>
  <si>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</si>
  <si>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</si>
  <si>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</si>
  <si>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</si>
  <si>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</si>
  <si>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</si>
  <si>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</si>
  <si>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</si>
  <si>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</si>
  <si>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</si>
  <si>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</si>
  <si>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</si>
  <si>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</si>
  <si>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</si>
  <si>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</si>
  <si>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</si>
  <si>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</si>
  <si>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</si>
  <si>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</si>
  <si>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</si>
  <si>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</si>
  <si>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</si>
  <si>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</si>
  <si>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</si>
  <si>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</si>
  <si>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</si>
  <si>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</si>
  <si>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</si>
  <si>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</si>
  <si>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</si>
  <si>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</si>
  <si>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</si>
  <si>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</si>
  <si>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</si>
  <si>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</si>
  <si>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</si>
  <si>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</si>
  <si>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</si>
  <si>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</si>
  <si>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</si>
  <si>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</si>
  <si>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</si>
  <si>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</si>
  <si>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</si>
  <si>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</si>
  <si>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</si>
  <si>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</si>
  <si>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</si>
  <si>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</si>
  <si>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</si>
  <si>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</si>
  <si>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</si>
  <si>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</si>
  <si>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</si>
  <si>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</si>
  <si>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</si>
  <si>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</si>
  <si>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</si>
  <si>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</si>
  <si>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</si>
  <si>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</si>
  <si>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</si>
  <si>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</si>
  <si>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</si>
  <si>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</si>
  <si>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</si>
  <si>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</si>
  <si>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</si>
  <si>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</si>
  <si>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</si>
  <si>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</si>
  <si>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</si>
  <si>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</si>
  <si>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</si>
  <si>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</si>
  <si>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</si>
  <si>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</si>
  <si>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</si>
  <si>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</si>
  <si>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</si>
  <si>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</si>
  <si>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</si>
  <si>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</si>
  <si>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</si>
  <si>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</si>
  <si>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</si>
  <si>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</si>
  <si>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</si>
  <si>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</si>
  <si>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</si>
  <si>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</si>
  <si>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</si>
  <si>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</si>
  <si>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</si>
  <si>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</si>
  <si>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</si>
  <si>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</si>
  <si>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</si>
  <si>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</si>
  <si>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</si>
  <si>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</si>
  <si>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</si>
  <si>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</si>
  <si>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</si>
  <si>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</si>
  <si>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</si>
  <si>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</si>
  <si>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</si>
  <si>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</si>
  <si>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</si>
  <si>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</si>
  <si>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</si>
  <si>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</si>
  <si>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</si>
  <si>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</si>
  <si>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</si>
  <si>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</si>
  <si>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</si>
  <si>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</si>
  <si>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</si>
  <si>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</si>
  <si>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</si>
  <si>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</si>
  <si>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</si>
  <si>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</si>
  <si>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</si>
  <si>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</si>
  <si>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</si>
  <si>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</si>
  <si>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</si>
  <si>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</si>
  <si>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</si>
  <si>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</si>
  <si>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</si>
  <si>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</si>
  <si>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</si>
  <si>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</si>
  <si>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</si>
  <si>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</si>
  <si>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</si>
  <si>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</si>
  <si>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</si>
  <si>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</si>
  <si>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</si>
  <si>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</si>
  <si>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</si>
  <si>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</si>
  <si>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</si>
  <si>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</si>
  <si>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</si>
  <si>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</si>
  <si>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</si>
  <si>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</si>
  <si>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</si>
  <si>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</si>
  <si>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</si>
  <si>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</si>
  <si>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</si>
  <si>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</si>
  <si>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</si>
  <si>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</si>
  <si>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</si>
  <si>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</si>
  <si>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</si>
  <si>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</si>
  <si>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</si>
  <si>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</si>
  <si>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</si>
  <si>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</si>
  <si>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</si>
  <si>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</si>
  <si>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</si>
  <si>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</si>
  <si>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</si>
  <si>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</si>
  <si>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</si>
  <si>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</si>
  <si>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</si>
  <si>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</si>
  <si>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</si>
  <si>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</si>
  <si>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</si>
  <si>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</si>
  <si>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</si>
  <si>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</si>
  <si>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</si>
  <si>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</si>
  <si>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</si>
  <si>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</si>
  <si>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</si>
  <si>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</si>
  <si>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</si>
  <si>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</si>
  <si>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</si>
  <si>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</si>
  <si>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</si>
  <si>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</si>
  <si>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</si>
  <si>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</si>
  <si>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</si>
  <si>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</si>
  <si>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</si>
  <si>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</si>
  <si>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</si>
  <si>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</si>
  <si>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</si>
  <si>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</si>
  <si>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</si>
  <si>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</si>
  <si>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</si>
  <si>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</si>
  <si>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</si>
  <si>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</si>
  <si>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</si>
  <si>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</si>
  <si>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</si>
  <si>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</si>
  <si>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</si>
  <si>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</si>
  <si>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</si>
  <si>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</si>
  <si>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</si>
  <si>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</si>
  <si>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</si>
  <si>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</si>
  <si>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</si>
  <si>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</si>
  <si>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</si>
  <si>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</si>
  <si>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</si>
  <si>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</si>
  <si>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</si>
  <si>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</si>
  <si>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</si>
  <si>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</si>
  <si>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</si>
  <si>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</si>
  <si>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</si>
  <si>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</si>
  <si>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</si>
  <si>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</si>
  <si>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</si>
  <si>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</si>
  <si>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</si>
  <si>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</si>
  <si>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</si>
  <si>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</si>
  <si>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</si>
  <si>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</si>
  <si>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</si>
  <si>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</si>
  <si>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</si>
  <si>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</si>
  <si>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</si>
  <si>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</si>
  <si>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</si>
  <si>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</si>
  <si>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</si>
  <si>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</si>
  <si>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</si>
  <si>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</si>
  <si>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</si>
  <si>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</si>
  <si>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</si>
  <si>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</si>
  <si>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</si>
  <si>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</si>
  <si>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</si>
  <si>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</si>
  <si>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</si>
  <si>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</si>
  <si>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</si>
  <si>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</si>
  <si>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</si>
  <si>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</si>
  <si>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</si>
  <si>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</si>
  <si>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</si>
  <si>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</si>
  <si>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</si>
  <si>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</si>
  <si>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</si>
  <si>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</si>
  <si>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</si>
  <si>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</si>
  <si>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</si>
  <si>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</si>
  <si>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</si>
  <si>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</si>
  <si>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</si>
  <si>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</si>
  <si>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</si>
  <si>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</si>
  <si>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</si>
  <si>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</si>
  <si>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</si>
  <si>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</si>
  <si>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</si>
  <si>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</si>
  <si>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</si>
  <si>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</si>
  <si>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</si>
  <si>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</si>
  <si>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</si>
  <si>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</si>
  <si>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</si>
  <si>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</si>
  <si>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</si>
  <si>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</si>
  <si>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</si>
  <si>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</si>
  <si>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</si>
  <si>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</si>
  <si>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</si>
  <si>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</si>
  <si>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</si>
  <si>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</si>
  <si>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</si>
  <si>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</si>
  <si>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</si>
  <si>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</si>
  <si>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</si>
  <si>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</si>
  <si>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</si>
  <si>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</si>
  <si>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</si>
  <si>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</si>
  <si>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</si>
  <si>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</si>
  <si>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</si>
  <si>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</si>
  <si>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</si>
  <si>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</si>
  <si>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</si>
  <si>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</si>
  <si>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</si>
  <si>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</si>
  <si>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</si>
  <si>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</si>
  <si>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</si>
  <si>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</si>
  <si>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</si>
  <si>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</si>
  <si>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</si>
  <si>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</si>
  <si>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</si>
  <si>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</si>
  <si>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</si>
  <si>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</si>
  <si>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</si>
  <si>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</si>
  <si>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</si>
  <si>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</si>
  <si>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</si>
  <si>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</si>
  <si>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</si>
  <si>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</si>
  <si>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</si>
  <si>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</si>
  <si>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</si>
  <si>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</si>
  <si>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</si>
  <si>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</si>
  <si>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</si>
  <si>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</si>
  <si>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</si>
  <si>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</si>
  <si>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</si>
  <si>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</si>
  <si>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</si>
  <si>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</si>
  <si>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</si>
  <si>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</si>
  <si>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</si>
  <si>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</si>
  <si>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</si>
  <si>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</si>
  <si>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</si>
  <si>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</si>
  <si>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</si>
  <si>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</si>
  <si>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</si>
  <si>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</si>
  <si>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</si>
  <si>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</si>
  <si>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</si>
  <si>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</si>
  <si>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</si>
  <si>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</si>
  <si>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</si>
  <si>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</si>
  <si>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</si>
  <si>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</si>
  <si>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</si>
  <si>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</si>
  <si>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</si>
  <si>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</si>
  <si>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</si>
  <si>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</si>
  <si>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</si>
  <si>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</si>
  <si>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</si>
  <si>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</si>
  <si>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</si>
  <si>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</si>
  <si>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</si>
  <si>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</si>
  <si>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</si>
  <si>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</si>
  <si>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</si>
  <si>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</si>
  <si>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</si>
  <si>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</si>
  <si>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</si>
  <si>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</si>
  <si>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</si>
  <si>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</si>
  <si>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</si>
  <si>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</si>
  <si>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</si>
  <si>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</si>
  <si>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</si>
  <si>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</si>
  <si>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</si>
  <si>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</si>
  <si>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</si>
  <si>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</si>
  <si>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</si>
  <si>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</si>
  <si>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</si>
  <si>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</si>
  <si>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</si>
  <si>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</si>
  <si>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</si>
  <si>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</si>
  <si>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</si>
  <si>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</si>
  <si>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</si>
  <si>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</si>
  <si>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</si>
  <si>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</si>
  <si>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</si>
  <si>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</si>
  <si>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</si>
  <si>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</si>
  <si>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</si>
  <si>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</si>
  <si>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</si>
  <si>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</si>
  <si>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</si>
  <si>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</si>
  <si>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</si>
  <si>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</si>
  <si>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</si>
  <si>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</si>
  <si>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</si>
  <si>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</si>
  <si>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</si>
  <si>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</si>
  <si>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</si>
  <si>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</si>
  <si>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</si>
  <si>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</si>
  <si>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</si>
  <si>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</si>
  <si>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</si>
  <si>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</si>
  <si>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</si>
  <si>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</si>
  <si>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</si>
  <si>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</si>
  <si>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</si>
  <si>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</si>
  <si>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</si>
  <si>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</si>
  <si>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</si>
  <si>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</si>
  <si>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</si>
  <si>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</si>
  <si>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</si>
  <si>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</si>
  <si>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</si>
  <si>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</si>
  <si>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</si>
  <si>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</si>
  <si>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</si>
  <si>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</si>
  <si>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</si>
  <si>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</si>
  <si>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</si>
  <si>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</si>
  <si>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</si>
  <si>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</si>
  <si>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</si>
  <si>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</si>
  <si>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</si>
  <si>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</si>
  <si>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</si>
  <si>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</si>
  <si>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</si>
  <si>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</si>
  <si>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</si>
  <si>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</si>
  <si>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</si>
  <si>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</si>
  <si>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</si>
  <si>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</si>
  <si>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</si>
  <si>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</si>
  <si>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</si>
  <si>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</si>
  <si>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</si>
  <si>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</si>
  <si>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</si>
  <si>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</si>
  <si>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</si>
  <si>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</si>
  <si>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</si>
  <si>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</si>
  <si>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</si>
  <si>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</si>
  <si>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</si>
  <si>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</si>
  <si>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</si>
  <si>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</si>
  <si>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</si>
  <si>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</si>
  <si>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</si>
  <si>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</si>
  <si>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</si>
  <si>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</si>
  <si>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</si>
  <si>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</si>
  <si>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</si>
  <si>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</si>
  <si>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</si>
  <si>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</si>
  <si>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</si>
  <si>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</si>
  <si>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</si>
  <si>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</si>
  <si>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</si>
  <si>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</si>
  <si>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</si>
  <si>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</si>
  <si>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</si>
  <si>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</si>
  <si>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</si>
  <si>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</si>
  <si>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</si>
  <si>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</si>
  <si>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</si>
  <si>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</si>
  <si>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</si>
  <si>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</si>
  <si>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</si>
  <si>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</si>
  <si>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</si>
  <si>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</si>
  <si>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</si>
  <si>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</si>
  <si>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</si>
  <si>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</si>
  <si>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</si>
  <si>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</si>
  <si>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</si>
  <si>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</si>
  <si>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</si>
  <si>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</si>
  <si>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</si>
  <si>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</si>
  <si>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</si>
  <si>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</si>
  <si>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</si>
  <si>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</si>
  <si>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</si>
  <si>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</si>
  <si>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</si>
  <si>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</si>
  <si>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</si>
  <si>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</si>
  <si>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</si>
  <si>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</si>
  <si>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</si>
  <si>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</si>
  <si>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</si>
  <si>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</si>
  <si>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</si>
  <si>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</si>
  <si>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</si>
  <si>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</si>
  <si>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</si>
  <si>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</si>
  <si>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</si>
  <si>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</si>
  <si>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</si>
  <si>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</si>
  <si>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</si>
  <si>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</si>
  <si>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</si>
  <si>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</si>
  <si>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</si>
  <si>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</si>
  <si>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</si>
  <si>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</si>
  <si>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</si>
  <si>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</si>
  <si>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</si>
  <si>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</si>
  <si>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</si>
  <si>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</si>
  <si>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</si>
  <si>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</si>
  <si>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</si>
  <si>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</si>
  <si>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</si>
  <si>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</si>
  <si>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</si>
  <si>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</si>
  <si>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</si>
  <si>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</si>
  <si>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</si>
  <si>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</si>
  <si>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</si>
  <si>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</si>
  <si>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</si>
  <si>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</si>
  <si>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</si>
  <si>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</si>
  <si>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</si>
  <si>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</si>
  <si>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</si>
  <si>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</si>
  <si>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</si>
  <si>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</si>
  <si>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</si>
  <si>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</si>
  <si>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</si>
  <si>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</si>
  <si>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</si>
  <si>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</si>
  <si>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</si>
  <si>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</si>
  <si>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</si>
  <si>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</si>
  <si>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</si>
  <si>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</si>
  <si>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</si>
  <si>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</si>
  <si>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</si>
  <si>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</si>
  <si>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</si>
  <si>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</si>
  <si>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</si>
  <si>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</si>
  <si>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</si>
  <si>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</si>
  <si>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</si>
  <si>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</si>
  <si>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</si>
  <si>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</si>
  <si>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</si>
  <si>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</si>
  <si>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</si>
  <si>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</si>
  <si>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</si>
  <si>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</si>
  <si>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</si>
  <si>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</si>
  <si>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</si>
  <si>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</si>
  <si>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</si>
  <si>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</si>
  <si>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</si>
  <si>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</si>
  <si>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</si>
  <si>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</si>
  <si>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</si>
  <si>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</si>
  <si>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</si>
  <si>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</si>
  <si>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</si>
  <si>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</si>
  <si>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</si>
  <si>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</si>
  <si>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</si>
  <si>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</si>
  <si>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</si>
  <si>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</si>
  <si>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</si>
  <si>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</si>
  <si>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</si>
  <si>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</si>
  <si>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</si>
  <si>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</si>
  <si>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</si>
  <si>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</si>
  <si>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</si>
  <si>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</si>
  <si>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</si>
  <si>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</si>
  <si>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</si>
  <si>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</si>
  <si>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</si>
  <si>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</si>
  <si>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</si>
  <si>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</si>
  <si>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</si>
  <si>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</si>
  <si>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</si>
  <si>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</si>
  <si>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</si>
  <si>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</si>
  <si>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</si>
  <si>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</si>
  <si>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</si>
  <si>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</si>
  <si>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</si>
  <si>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</si>
  <si>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</si>
  <si>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</si>
  <si>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</si>
  <si>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</si>
  <si>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</si>
  <si>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</si>
  <si>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</si>
  <si>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</si>
  <si>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</si>
  <si>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</si>
  <si>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</si>
  <si>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</si>
  <si>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</si>
  <si>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</si>
  <si>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</si>
  <si>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</si>
  <si>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</si>
  <si>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</si>
  <si>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</si>
  <si>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</si>
  <si>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</si>
  <si>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</si>
  <si>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</si>
  <si>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</si>
  <si>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</si>
  <si>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</si>
  <si>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</si>
  <si>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</si>
  <si>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</si>
  <si>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</si>
  <si>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</si>
  <si>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</si>
  <si>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</si>
  <si>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</si>
  <si>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</si>
  <si>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</si>
  <si>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</si>
  <si>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</si>
  <si>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</si>
  <si>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</si>
  <si>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</si>
  <si>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</si>
  <si>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</si>
  <si>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</si>
  <si>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</si>
  <si>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</si>
  <si>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</si>
  <si>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</si>
  <si>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</si>
  <si>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</si>
  <si>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</si>
  <si>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</si>
  <si>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</si>
  <si>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</si>
  <si>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</si>
  <si>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</si>
  <si>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</si>
  <si>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</si>
  <si>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</si>
  <si>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</si>
  <si>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</si>
  <si>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</si>
  <si>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</si>
  <si>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</si>
  <si>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</si>
  <si>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</si>
  <si>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</si>
  <si>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</si>
  <si>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</si>
  <si>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</si>
  <si>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</si>
  <si>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</si>
  <si>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</si>
  <si>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</si>
  <si>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</si>
  <si>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</si>
  <si>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</si>
  <si>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</si>
  <si>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</si>
  <si>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</si>
  <si>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</si>
  <si>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</si>
  <si>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</si>
  <si>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</si>
  <si>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</si>
  <si>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</si>
  <si>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</si>
  <si>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</si>
  <si>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</si>
  <si>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</si>
  <si>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</si>
  <si>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</si>
  <si>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</si>
  <si>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</si>
  <si>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</si>
  <si>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</si>
  <si>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</si>
  <si>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</si>
  <si>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</si>
  <si>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</si>
  <si>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</si>
  <si>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</si>
  <si>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</si>
  <si>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</si>
  <si>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</si>
  <si>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</si>
  <si>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</si>
  <si>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</si>
  <si>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</si>
  <si>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</si>
  <si>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</si>
  <si>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</si>
  <si>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</si>
  <si>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</si>
  <si>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</si>
  <si>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</si>
  <si>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</si>
  <si>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</si>
  <si>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</si>
  <si>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</si>
  <si>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</si>
  <si>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</si>
  <si>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</si>
  <si>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</si>
  <si>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</si>
  <si>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</si>
  <si>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</si>
  <si>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</si>
  <si>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</si>
  <si>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</si>
  <si>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</si>
  <si>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</si>
  <si>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</si>
  <si>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</si>
  <si>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</si>
  <si>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</si>
  <si>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</si>
  <si>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</si>
  <si>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</si>
  <si>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</si>
  <si>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</si>
  <si>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</si>
  <si>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</si>
  <si>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</si>
  <si>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</si>
  <si>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</si>
  <si>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</si>
  <si>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</si>
  <si>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</si>
  <si>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</si>
  <si>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</si>
  <si>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</si>
  <si>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</si>
  <si>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</si>
  <si>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</si>
  <si>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</si>
  <si>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</si>
  <si>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</si>
  <si>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</si>
  <si>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</si>
  <si>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</si>
  <si>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</si>
  <si>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</si>
  <si>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</si>
  <si>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</si>
  <si>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</si>
  <si>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</si>
  <si>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</si>
  <si>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</si>
  <si>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</si>
  <si>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</si>
  <si>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</si>
  <si>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</si>
  <si>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</si>
  <si>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</si>
  <si>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</si>
  <si>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</si>
  <si>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</si>
  <si>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</si>
  <si>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</si>
  <si>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</si>
  <si>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</si>
  <si>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</si>
  <si>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</si>
  <si>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</si>
  <si>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</si>
  <si>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</si>
  <si>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</si>
  <si>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</si>
  <si>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</si>
  <si>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</si>
  <si>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</si>
  <si>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</si>
  <si>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</si>
  <si>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</si>
  <si>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</si>
  <si>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</si>
  <si>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</si>
  <si>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</si>
  <si>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</si>
  <si>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</si>
  <si>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</si>
  <si>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</si>
  <si>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</si>
  <si>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</si>
  <si>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</si>
  <si>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</si>
  <si>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</si>
  <si>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</si>
  <si>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</si>
  <si>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</si>
  <si>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</si>
  <si>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</si>
  <si>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</si>
  <si>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</si>
  <si>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</si>
  <si>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</si>
  <si>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</si>
  <si>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</si>
  <si>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</si>
  <si>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</si>
  <si>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</si>
  <si>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</si>
  <si>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</si>
  <si>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</si>
  <si>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</si>
  <si>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</si>
  <si>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</si>
  <si>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</si>
  <si>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</si>
  <si>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</si>
  <si>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</si>
  <si>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</si>
  <si>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</si>
  <si>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</si>
  <si>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</si>
  <si>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</si>
  <si>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</si>
  <si>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</si>
  <si>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</si>
  <si>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</si>
  <si>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</si>
  <si>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</si>
  <si>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</si>
  <si>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</si>
  <si>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</si>
  <si>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</si>
  <si>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</si>
  <si>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</si>
  <si>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</si>
  <si>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</si>
  <si>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</si>
  <si>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</si>
  <si>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</si>
  <si>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</si>
  <si>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</si>
  <si>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</si>
  <si>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</si>
  <si>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</si>
  <si>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</si>
  <si>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</si>
  <si>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</si>
  <si>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</si>
  <si>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</si>
  <si>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</si>
  <si>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</si>
  <si>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</si>
  <si>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</si>
  <si>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</si>
  <si>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</si>
  <si>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</si>
  <si>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</si>
  <si>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</si>
  <si>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</si>
  <si>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</si>
  <si>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</si>
  <si>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</si>
  <si>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</si>
  <si>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</si>
  <si>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</si>
  <si>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</si>
  <si>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</si>
  <si>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</si>
  <si>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</si>
  <si>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</si>
  <si>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</si>
  <si>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</si>
  <si>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</si>
  <si>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</si>
  <si>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</si>
  <si>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</si>
  <si>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</si>
  <si>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</si>
  <si>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</si>
  <si>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</si>
  <si>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</si>
  <si>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</si>
  <si>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</si>
  <si>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</si>
  <si>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</si>
  <si>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</si>
  <si>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Execution Worksheet</t>
  </si>
  <si>
    <t>DataTables</t>
  </si>
  <si>
    <t>itemName</t>
  </si>
  <si>
    <t>itemRoot</t>
  </si>
  <si>
    <t>MT_0002</t>
  </si>
  <si>
    <t>MT_3-18-FOAM_INSERT_0001</t>
  </si>
  <si>
    <t>MT_4-78-FOAM_INSERT_0001</t>
  </si>
  <si>
    <t>MT_CIRCUITBOARD_0001</t>
  </si>
  <si>
    <t>MT_FOAM_COMPOSITE_0001</t>
  </si>
  <si>
    <t>MT_HSG_LWR_0004</t>
  </si>
  <si>
    <t>MT_HSG_UPR_0004</t>
  </si>
  <si>
    <t>MT_PAD_LOGO_0002</t>
  </si>
  <si>
    <t>MT_POWER_CAP_0002</t>
  </si>
  <si>
    <t>MT_POWER_FORK_0002</t>
  </si>
  <si>
    <t>MT_SPRING_0003</t>
  </si>
  <si>
    <t>/ NOTE: Assumes Current Working Directory or Workspace</t>
  </si>
  <si>
    <t>tblModels</t>
  </si>
  <si>
    <t>TBL:tblModels</t>
  </si>
  <si>
    <t>MT_0002.ASM</t>
  </si>
  <si>
    <t>MT_BOARD_ASY.ASM</t>
  </si>
  <si>
    <t>MT_BOARD_ASY</t>
  </si>
  <si>
    <t>MT_FOAM_COMPOSITE_0001.ASM</t>
  </si>
  <si>
    <t>*.prt</t>
  </si>
  <si>
    <t>476540001.PRT</t>
  </si>
  <si>
    <t>476540001</t>
  </si>
  <si>
    <t>BATTERY.PRT</t>
  </si>
  <si>
    <t>BATTERY</t>
  </si>
  <si>
    <t>BOARD_CELL_ANTENNA_CONNECTOR.PRT</t>
  </si>
  <si>
    <t>BOARD_CELL_ANTENNA_CONNECTOR</t>
  </si>
  <si>
    <t>FOAM_NOTE_STD.PRT</t>
  </si>
  <si>
    <t>FOAM_NOTE_STD</t>
  </si>
  <si>
    <t>FXP_611_GPS_ANTENNA.PRT</t>
  </si>
  <si>
    <t>FXP_611_GPS_ANTENNA</t>
  </si>
  <si>
    <t>HEADER_BAR.PRT</t>
  </si>
  <si>
    <t>HEADER_BAR</t>
  </si>
  <si>
    <t>MT_3-18-FOAM_INSERT_0001.PRT</t>
  </si>
  <si>
    <t>MT_4-78-FOAM_INSERT_0001.PRT</t>
  </si>
  <si>
    <t>MT_CIRCUITBOARD_0001.PRT</t>
  </si>
  <si>
    <t>MT_HSG_LWR_0004.PRT</t>
  </si>
  <si>
    <t>MT_HSG_UPR_0004.PRT</t>
  </si>
  <si>
    <t>MT_PAD_LOGO_0002.PRT</t>
  </si>
  <si>
    <t>MT_POWER_CAP_0002.PRT</t>
  </si>
  <si>
    <t>MT_POWER_FORK_0002.PRT</t>
  </si>
  <si>
    <t>MT_SPRING_0003.PRT</t>
  </si>
  <si>
    <t>PC-23B_CELL_ANTENNA.PRT</t>
  </si>
  <si>
    <t>PC-23B_CELL_ANTENNA</t>
  </si>
  <si>
    <t>POWER_FORK_CHINA.PRT</t>
  </si>
  <si>
    <t>POWER_FORK_CHINA</t>
  </si>
  <si>
    <t>POWER_FORK_STANDOFF_CHINA.PRT</t>
  </si>
  <si>
    <t>POWER_FORK_STANDOFF_CHINA</t>
  </si>
  <si>
    <t>PRT0001.PRT</t>
  </si>
  <si>
    <t>PRT0001</t>
  </si>
  <si>
    <t>SSL-LX203CGT.PRT</t>
  </si>
  <si>
    <t>SSL-LX203CGT</t>
  </si>
  <si>
    <t>WIRELESS_MODULE.PRT</t>
  </si>
  <si>
    <t>WIRELESS_MODULE</t>
  </si>
  <si>
    <t>*.asm</t>
  </si>
  <si>
    <t>Copyright 2000 - 2026 - Simplified Logic, Inc. - All rights reserved.</t>
  </si>
  <si>
    <t>// Create/Clear STEP Sub-Directory</t>
  </si>
  <si>
    <t>// Generate STEP Files in Sub-Directory</t>
  </si>
  <si>
    <t>// Create/Clear Excel Table for List of Files</t>
  </si>
  <si>
    <t>// Open all the Models using Excel Table Content</t>
  </si>
  <si>
    <t>// Get List of Models to Process and add to Excel Table</t>
  </si>
  <si>
    <t>exportSTEPs</t>
  </si>
  <si>
    <t>EXPORTS_STEP</t>
  </si>
  <si>
    <t>PROTOTYPE_CASES.ASM</t>
  </si>
  <si>
    <t>PROTOTYPE_CASES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</si>
</sst>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0" fillId="0" borderId="6" xfId="0" applyBorder="1"/>
    <xf numFmtId="0" fontId="16" fillId="3" borderId="1" xfId="4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7" xfId="4" applyBorder="1" applyAlignment="1">
      <alignment wrapText="1"/>
    </xf>
    <xf numFmtId="0" fontId="19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52">
    <dxf>
      <numFmt numFmtId="30" formatCode="@"/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C0691-A49B-4261-8687-7308AE3D5660}" name="tblModels" displayName="tblModels" ref="A1:B26" totalsRowShown="0">
  <tableColumns count="2">
    <tableColumn id="1" xr3:uid="{BC16C3FB-AC3F-4674-9A32-E80D9241E132}" name="itemName"/>
    <tableColumn id="2" xr3:uid="{D31D90F8-0EA4-4684-B624-18B611A5FDF3}" name="itemRoo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51"/>
    <tableColumn id="83" xr3:uid="{4F305647-F032-4778-9A8D-9C7B0096256E}" uniqueName="83" name="model : OPEN" queryTableFieldId="83" dataDxfId="250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49"/>
    <tableColumn id="312" xr3:uid="{4872E885-5791-44D4-9B5B-FB1CA2874EBC}" uniqueName="312" name="tbl_model : REGENERATE" queryTableFieldId="1078" dataDxfId="248"/>
    <tableColumn id="110" xr3:uid="{BC958088-C72C-468A-B446-160F804B447E}" uniqueName="110" name="parameter : GET" queryTableFieldId="110" dataDxfId="247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46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45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44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43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42"/>
    <tableColumn id="62" xr3:uid="{A403E72C-11F2-42CA-9E4D-EFFD10CE58DE}" uniqueName="62" name="model : GET_FILE_EXT" queryTableFieldId="62" dataDxfId="241"/>
    <tableColumn id="63" xr3:uid="{89E2C7D2-0278-4A22-86C9-4E9197BABFD6}" uniqueName="63" name="model : GET_FILE_ROOT" queryTableFieldId="63" dataDxfId="240"/>
    <tableColumn id="1" xr3:uid="{71CFF0F4-B229-47EF-9F92-04C68765035C}" uniqueName="1" name="model : ASSEMBLE" queryTableFieldId="1" dataDxfId="239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38"/>
    <tableColumn id="3" xr3:uid="{5A0250B0-4F80-4A5A-9C14-57ADADC2F528}" uniqueName="3" name="model : ASSEMBLE_ALL_ROOT" queryTableFieldId="3" dataDxfId="237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36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35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34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33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32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31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30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29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28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27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26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25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24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23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22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21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20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19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18"/>
    <tableColumn id="5" xr3:uid="{00F86180-80AF-40E7-B3D4-CB2636BC3A5A}" uniqueName="5" name="model : CLOSE_WINDOW" queryTableFieldId="5" dataDxfId="217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16"/>
    <tableColumn id="13" xr3:uid="{18DDAC10-C5BC-432D-8271-93EE8265EC34}" uniqueName="13" name="model : DRW_DEL_SHEET_LAST" queryTableFieldId="13" dataDxfId="215"/>
    <tableColumn id="14" xr3:uid="{CBD6FF89-8238-45FA-8ED6-9BCB6C673FCE}" uniqueName="14" name="model : DRW_DEL_SHEET_NUM" queryTableFieldId="14" dataDxfId="214"/>
    <tableColumn id="16" xr3:uid="{146AE43F-3B1A-4070-9BFC-1433F332E5E9}" uniqueName="16" name="model : DRW_GET_SHEET_COUNT" queryTableFieldId="16" dataDxfId="213"/>
    <tableColumn id="17" xr3:uid="{D8C65C17-29F8-494A-896A-FDB244D18940}" uniqueName="17" name="model : DRW_GET_SHEET_NUM" queryTableFieldId="17" dataDxfId="212"/>
    <tableColumn id="18" xr3:uid="{D435715F-CF55-48A1-9D3F-0DF51B5605E8}" uniqueName="18" name="model : DRW_GET_SHEET_SCALE" queryTableFieldId="18" dataDxfId="211"/>
    <tableColumn id="19" xr3:uid="{70F00ECA-3549-46F3-952C-7E58F6CAF7EA}" uniqueName="19" name="model : DRW_GET_SHEET_SIZE" queryTableFieldId="19" dataDxfId="210"/>
    <tableColumn id="20" xr3:uid="{8B105BD1-750C-454D-B047-940CC6E2C581}" uniqueName="20" name="model : DRW_HAS_DIMENSIONS" queryTableFieldId="20" dataDxfId="209"/>
    <tableColumn id="21" xr3:uid="{AEB9A594-0C1F-4B74-9183-2162CE925EB6}" uniqueName="21" name="model : DRW_MODEL_ADD" queryTableFieldId="21" dataDxfId="208"/>
    <tableColumn id="22" xr3:uid="{7EF2F91C-FB89-4758-B4C5-5CE7186575F6}" uniqueName="22" name="model : DRW_MODEL_COUNT" queryTableFieldId="22" dataDxfId="207"/>
    <tableColumn id="23" xr3:uid="{E2CF9C02-12B3-485C-8346-C370A2B230BE}" uniqueName="23" name="model : DRW_MODEL_DELETE" queryTableFieldId="23" dataDxfId="206"/>
    <tableColumn id="24" xr3:uid="{34F4FB7D-6E40-44B6-8704-29BEF0693883}" uniqueName="24" name="model : DRW_MODEL_EXISTS" queryTableFieldId="24" dataDxfId="205"/>
    <tableColumn id="25" xr3:uid="{3AA2AFCC-77E3-4F97-BF9B-1331F9D0BDB0}" uniqueName="25" name="model : DRW_MODEL_GET" queryTableFieldId="25" dataDxfId="204"/>
    <tableColumn id="26" xr3:uid="{1C2A8276-F65E-43DA-823B-A05C56AFFFD5}" uniqueName="26" name="model : DRW_MODEL_SET" queryTableFieldId="26" dataDxfId="203"/>
    <tableColumn id="28" xr3:uid="{702B1E31-845B-416B-A0D4-F7090850C5CA}" uniqueName="28" name="model : DRW_SEL_SHEET_FIRST" queryTableFieldId="28" dataDxfId="202"/>
    <tableColumn id="29" xr3:uid="{2058BD89-5247-4C35-BB3B-468A3B84B777}" uniqueName="29" name="model : DRW_SEL_SHEET_LAST" queryTableFieldId="29" dataDxfId="201"/>
    <tableColumn id="30" xr3:uid="{E5AE4E67-748E-4E45-968C-21EA8880917C}" uniqueName="30" name="model : DRW_SEL_SHEET_NUM" queryTableFieldId="30" dataDxfId="200"/>
    <tableColumn id="31" xr3:uid="{3329E357-7380-4C3C-84DF-1607437C8742}" uniqueName="31" name="model : DRW_SET_SHEET_SCALE" queryTableFieldId="31" dataDxfId="199"/>
    <tableColumn id="32" xr3:uid="{87F46014-D248-4E75-84A1-C39470C22419}" uniqueName="32" name="model : DRW_SYMBOL_ADD" queryTableFieldId="32" dataDxfId="198"/>
    <tableColumn id="33" xr3:uid="{9DCB31AA-954D-49A8-A682-3D0F5DE84D25}" uniqueName="33" name="model : DRW_SYMBOL_DELETE" queryTableFieldId="33" dataDxfId="197"/>
    <tableColumn id="34" xr3:uid="{B7E1BCB5-49E2-4756-824C-C46744E3AAC6}" uniqueName="34" name="model : DRW_SYMBOL_EXISTS" queryTableFieldId="34" dataDxfId="196"/>
    <tableColumn id="35" xr3:uid="{FEA3D7F5-76A2-4F5F-9A78-A99AD33686E6}" uniqueName="35" name="model : DRW_VIEW_BBOX_XY" queryTableFieldId="35" dataDxfId="195"/>
    <tableColumn id="36" xr3:uid="{37E917D2-A734-4637-9A82-798570A166CC}" uniqueName="36" name="model : DRW_VIEW_COUNT" queryTableFieldId="36" dataDxfId="194"/>
    <tableColumn id="37" xr3:uid="{689A533E-78C1-4AD4-8B13-477A51EE64E8}" uniqueName="37" name="model : DRW_VIEW_CREATE_EXP_GEN" queryTableFieldId="37" dataDxfId="193"/>
    <tableColumn id="38" xr3:uid="{B35C0A19-A865-4E6D-BFB8-E99CFCD60D68}" uniqueName="38" name="model : DRW_VIEW_CREATE_GEN" queryTableFieldId="38" dataDxfId="192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191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190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189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188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187"/>
    <tableColumn id="95" xr3:uid="{F746AB45-4733-47D8-8AAE-14BA55A02F1A}" uniqueName="95" name="model : SAVE_AS_TO_RELEASED" queryTableFieldId="95" dataDxfId="186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185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184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183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182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181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180"/>
    <tableColumn id="40" xr3:uid="{016831CD-645B-4674-8BFF-C9CBA9737A49}" uniqueName="40" name="model : DRW_VIEW_DELETE" queryTableFieldId="40" dataDxfId="179"/>
    <tableColumn id="41" xr3:uid="{9DC7FC73-C7DA-4CC7-A81E-F2C9F0E6EE8A}" uniqueName="41" name="model : DRW_VIEW_EXISTS" queryTableFieldId="41" dataDxfId="178"/>
    <tableColumn id="42" xr3:uid="{3C7711A4-4223-4BC1-A2A3-D4DDE3FFCC4F}" uniqueName="42" name="model : DRW_VIEW_LOC_GET" queryTableFieldId="42" dataDxfId="177"/>
    <tableColumn id="43" xr3:uid="{8CB242A2-2D35-428E-90C3-FA0218090C6A}" uniqueName="43" name="model : DRW_VIEW_LOC_SET" queryTableFieldId="43" dataDxfId="176"/>
    <tableColumn id="44" xr3:uid="{DDB8B0A4-917A-4381-BB83-C6603450927A}" uniqueName="44" name="model : DRW_VIEW_MOVE" queryTableFieldId="44" dataDxfId="175"/>
    <tableColumn id="45" xr3:uid="{7222A6CF-F789-44FA-AC84-DB465E59ADF2}" uniqueName="45" name="model : DRW_VIEW_RENAME" queryTableFieldId="45" dataDxfId="174"/>
    <tableColumn id="46" xr3:uid="{A901DF2D-3EB6-45E5-A216-27C1AED95358}" uniqueName="46" name="model : DRW_VIEW_SCALE_GET" queryTableFieldId="46" dataDxfId="173"/>
    <tableColumn id="47" xr3:uid="{C651F657-05DA-4332-BEDA-D59D0055D9FC}" uniqueName="47" name="model : DRW_VIEW_SCALE_SET" queryTableFieldId="47" dataDxfId="172"/>
    <tableColumn id="48" xr3:uid="{2BE8E82E-F1F0-4A26-8810-26C0651DDE16}" uniqueName="48" name="model : DRW_VIEW_SHEET_GET" queryTableFieldId="48" dataDxfId="171"/>
    <tableColumn id="61" xr3:uid="{D5411CDD-4E27-4AFD-BC39-07D9CA02258E}" uniqueName="61" name="model : GET_APPEND_RELS" queryTableFieldId="61" dataDxfId="170"/>
    <tableColumn id="64" xr3:uid="{E70A64C6-FAD8-4C6F-8E38-03F18CB275F0}" uniqueName="64" name="model : GET_LENGTH_UNITS" queryTableFieldId="64" dataDxfId="169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68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67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66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65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64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63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62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61"/>
    <tableColumn id="73" xr3:uid="{EF657F29-3634-4A78-8985-D1AD2187756A}" uniqueName="73" name="model : IN_SESSION_BOOL" queryTableFieldId="73" dataDxfId="160"/>
    <tableColumn id="74" xr3:uid="{80785DDE-FA72-4273-B097-63E2C3BE6288}" uniqueName="74" name="model : LAYER_CREATE" queryTableFieldId="74" dataDxfId="159"/>
    <tableColumn id="75" xr3:uid="{3E2526B5-9A2C-4FDB-8CE3-4DB0A3963E47}" uniqueName="75" name="model : LAYER_DELETE" queryTableFieldId="75" dataDxfId="158"/>
    <tableColumn id="76" xr3:uid="{A964BC49-4F45-4192-B2E4-6501810B70E3}" uniqueName="76" name="model : LAYER_EXISTS" queryTableFieldId="76" dataDxfId="157"/>
    <tableColumn id="77" xr3:uid="{8F6FE355-691C-45F1-AFAB-975E96BFB61B}" uniqueName="77" name="model : LAYER_GET_STATE" queryTableFieldId="77" dataDxfId="156"/>
    <tableColumn id="78" xr3:uid="{6F333764-FA0E-46C3-B71E-B4C47B760881}" uniqueName="78" name="model : LAYER_HIDE" queryTableFieldId="78" dataDxfId="155"/>
    <tableColumn id="79" xr3:uid="{2C178378-98EB-4B55-B08B-CFAC655F84DF}" uniqueName="79" name="model : LAYER_SHOW" queryTableFieldId="79" dataDxfId="154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53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52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51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50"/>
    <tableColumn id="86" xr3:uid="{E540920C-B9BF-4008-9769-F77A70D5E148}" uniqueName="86" name="model : RELATIONS_EXIST" queryTableFieldId="86" dataDxfId="149"/>
    <tableColumn id="87" xr3:uid="{1789FD1C-85A4-4CFD-AC6A-76D5641B297C}" uniqueName="87" name="model : RENAME_INSESSION" queryTableFieldId="87" dataDxfId="148"/>
    <tableColumn id="313" xr3:uid="{CA66E77D-5469-437D-9C5E-F24FC56E26BA}" uniqueName="313" name="tbl_model : RENAME_INSESSION" queryTableFieldId="1079" dataDxfId="147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46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45"/>
    <tableColumn id="112" xr3:uid="{95B85F84-99B0-4A42-BAE3-FF1F1EDBEEE5}" uniqueName="112" name="parameter : IS_DESIGNATED" queryTableFieldId="112" dataDxfId="144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43"/>
    <tableColumn id="109" xr3:uid="{7F51924F-8613-4CD4-AF91-A8169C10446C}" uniqueName="109" name="parameter : EXISTS" queryTableFieldId="109" dataDxfId="142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41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40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39"/>
    <tableColumn id="170" xr3:uid="{C2B1481F-169C-4381-B489-85822452DB9A}" uniqueName="170" name="application : BATCH_APPEND_GET_FILES" queryTableFieldId="170" dataDxfId="138"/>
    <tableColumn id="171" xr3:uid="{F0A33360-A654-42E8-8978-7D8519CF4DB7}" uniqueName="171" name="application : BATCH_APPEND_LIST_FILES" queryTableFieldId="171" dataDxfId="137"/>
    <tableColumn id="172" xr3:uid="{1B63D623-DFBB-4FE7-BF39-797888F74792}" uniqueName="172" name="application : BATCH_GET_DRW_MDLS" queryTableFieldId="172" dataDxfId="136"/>
    <tableColumn id="173" xr3:uid="{6C1C25AD-CC0D-401C-AE5C-79109101D33C}" uniqueName="173" name="application : BATCH_GET_FILES" queryTableFieldId="173" dataDxfId="135"/>
    <tableColumn id="174" xr3:uid="{79D35707-3E5C-4478-8BC9-29678DC96194}" uniqueName="174" name="application : BATCH_LIST_EXPLODED_VIEWS" queryTableFieldId="174" dataDxfId="134"/>
    <tableColumn id="175" xr3:uid="{818878B2-7F51-44C9-BC58-06A36ED68F64}" uniqueName="175" name="application : BATCH_LIST_FILES" queryTableFieldId="175" dataDxfId="133"/>
    <tableColumn id="176" xr3:uid="{9FEB5F3C-66E0-40A9-A63E-7A3FE952CEDA}" uniqueName="176" name="application : BATCH_LIST_INSTANCES" queryTableFieldId="176" dataDxfId="132"/>
    <tableColumn id="177" xr3:uid="{4511E287-A62B-4A00-928A-8B5F5F9FF907}" uniqueName="177" name="application : BATCH_LIST_SIMP_REPS" queryTableFieldId="177" dataDxfId="131"/>
    <tableColumn id="178" xr3:uid="{936E4FA5-368E-44BC-9A1F-CCB1BE6C98BC}" uniqueName="178" name="application : BATCH_RESET" queryTableFieldId="178" dataDxfId="130"/>
    <tableColumn id="179" xr3:uid="{58D80A16-5EEF-4D30-90F6-C44C6CE19689}" uniqueName="179" name="application : BATCH_SKIP" queryTableFieldId="179" dataDxfId="129"/>
    <tableColumn id="180" xr3:uid="{D1C0D2E9-F065-48FC-A8DF-68D88612D9E6}" uniqueName="180" name="application : BATCH_START" queryTableFieldId="180" dataDxfId="128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27"/>
    <tableColumn id="182" xr3:uid="{DF787203-4E59-4C07-B573-B3AEA595198C}" uniqueName="182" name="application : CFG_SET_OPTION" queryTableFieldId="182" dataDxfId="126"/>
    <tableColumn id="183" xr3:uid="{286EE58A-F475-4166-9A52-6390C4C1A803}" uniqueName="183" name="application : DIR_CHANGE" queryTableFieldId="183" dataDxfId="125"/>
    <tableColumn id="184" xr3:uid="{70C2C1DB-39DA-4F02-B250-6024398D8875}" uniqueName="184" name="application : DIR_CONTAINS_BOOL" queryTableFieldId="184" dataDxfId="124"/>
    <tableColumn id="185" xr3:uid="{BEBEB511-87F9-45F5-9ABD-B35FC5C9DA77}" uniqueName="185" name="application : DIR_CREATE" queryTableFieldId="185" dataDxfId="123"/>
    <tableColumn id="186" xr3:uid="{F7747908-48CF-498D-8C15-CBE67455B10D}" uniqueName="186" name="application : DIR_DELETE" queryTableFieldId="186" dataDxfId="122"/>
    <tableColumn id="187" xr3:uid="{9216C3CA-FD35-4E52-B965-73D2B57411A9}" uniqueName="187" name="application : DIR_EXISTS" queryTableFieldId="187" dataDxfId="121"/>
    <tableColumn id="188" xr3:uid="{748AD39B-D430-41E5-8AF1-FA9869A9EE72}" uniqueName="188" name="application : DIR_EXISTS_BOOL" queryTableFieldId="188" dataDxfId="120"/>
    <tableColumn id="189" xr3:uid="{41600C3D-203A-4E15-A1FB-D13FCD2888B3}" uniqueName="189" name="application : DIR_GET" queryTableFieldId="189" dataDxfId="119"/>
    <tableColumn id="190" xr3:uid="{85231DA8-DE3E-4429-86EF-0C573D3FC581}" uniqueName="190" name="application : DIR_GET_NUMFILES" queryTableFieldId="190" dataDxfId="118"/>
    <tableColumn id="191" xr3:uid="{C61DD70C-3727-49B9-B792-82D87F8820E9}" uniqueName="191" name="application : DIR_PURGE" queryTableFieldId="191" dataDxfId="117"/>
    <tableColumn id="192" xr3:uid="{0BAF49E6-D5E1-4651-AF20-0F6358BDA814}" uniqueName="192" name="application : DIR_ZIP" queryTableFieldId="192" dataDxfId="116"/>
    <tableColumn id="193" xr3:uid="{17578B54-1457-4B0E-97A0-A9CCDB16F65D}" uniqueName="193" name="application : ERASE_FILE" queryTableFieldId="193" dataDxfId="115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14"/>
    <tableColumn id="201" xr3:uid="{2B58C3EF-A045-47EC-8AFE-2948C20EB7F9}" uniqueName="201" name="application : FILE_MOVE" queryTableFieldId="201" dataDxfId="113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12"/>
    <tableColumn id="200" xr3:uid="{5C45D16C-7869-42A5-9769-CFFE9AF174CF}" uniqueName="200" name="application : FILE_EXISTS_BOOL" queryTableFieldId="200" dataDxfId="111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10"/>
    <tableColumn id="218" xr3:uid="{22719344-16EF-4493-81E0-826664B1D8C3}" uniqueName="218" name="application : WAIT" queryTableFieldId="218" dataDxfId="109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08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07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06"/>
    <tableColumn id="205" xr3:uid="{6A80FDCE-4B80-4F86-8B5C-CA78AF4D3645}" uniqueName="205" name="application : LOG_MESSAGE" queryTableFieldId="205" dataDxfId="105"/>
    <tableColumn id="208" xr3:uid="{128E390D-5F53-4CE3-972D-3C98EC2CD874}" uniqueName="208" name="application : REGISTER_CLEAR" queryTableFieldId="208" dataDxfId="104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03"/>
    <tableColumn id="211" xr3:uid="{171E5BB3-9EEF-4CDB-BD34-1CA1B2335B39}" uniqueName="211" name="application : REGISTER_LOG" queryTableFieldId="211" dataDxfId="102"/>
    <tableColumn id="212" xr3:uid="{A39E2458-064A-42EE-9652-E8AAF8679589}" uniqueName="212" name="application : REGISTER_SET" queryTableFieldId="212" dataDxfId="101"/>
    <tableColumn id="213" xr3:uid="{F59A4056-F51C-4DB8-BCAC-DA6F80BA2440}" uniqueName="213" name="application : REGISTER_SUBSTR" queryTableFieldId="213" dataDxfId="100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99"/>
    <tableColumn id="215" xr3:uid="{7D591DC5-3FCE-479D-8CFF-DE509C3A6642}" uniqueName="215" name="application : STOP_ALERT" queryTableFieldId="215" dataDxfId="98"/>
    <tableColumn id="217" xr3:uid="{874E5D00-7F66-4D52-AEAC-2646446CB6D9}" uniqueName="217" name="application : STOP_EXECUTION" queryTableFieldId="217" dataDxfId="97"/>
    <tableColumn id="197" xr3:uid="{1E82DDD4-BB31-42E8-8403-D800229DDF0C}" uniqueName="197" name="application : ERROR_CATCH_OFF" queryTableFieldId="197" dataDxfId="96"/>
    <tableColumn id="232" xr3:uid="{402BB7FD-23FE-4B2D-AE6A-1FB4085391E4}" uniqueName="232" name="application : ZIP_FILES" queryTableFieldId="232" dataDxfId="95"/>
    <tableColumn id="198" xr3:uid="{AF80F34A-CDAD-4055-AD2B-3DAD3C260E7D}" uniqueName="198" name="application : ERROR_CATCH_ON" queryTableFieldId="198" dataDxfId="94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93"/>
    <tableColumn id="221" xr3:uid="{60FE5F67-1211-40D0-A6EA-CB35AA6D9D3A}" uniqueName="221" name="application : WC_SERVER_SET" queryTableFieldId="221" dataDxfId="92"/>
    <tableColumn id="222" xr3:uid="{80EFE6D2-45FC-4A5A-B24E-BFCFC8A8782F}" uniqueName="222" name="application : WC_SET_USER" queryTableFieldId="222" dataDxfId="91"/>
    <tableColumn id="223" xr3:uid="{ACB37672-6C1C-48BF-BFE2-5871E70EB9CD}" uniqueName="223" name="application : WC_WS_BCH_APND_LIST_FILES" queryTableFieldId="223" dataDxfId="90"/>
    <tableColumn id="224" xr3:uid="{A93FE209-26B5-4547-AEB7-13CFF8E51997}" uniqueName="224" name="application : WC_WS_BCH_LIST_FILES" queryTableFieldId="224" dataDxfId="89"/>
    <tableColumn id="225" xr3:uid="{7AC634D1-8FAC-47F6-8D0E-2DEA5073F6B0}" uniqueName="225" name="application : WC_WS_CLEAR" queryTableFieldId="225" dataDxfId="88"/>
    <tableColumn id="226" xr3:uid="{630E6DB8-1BA9-47A2-AD65-6FB09E34D260}" uniqueName="226" name="application : WC_WS_CREATE" queryTableFieldId="226" dataDxfId="87"/>
    <tableColumn id="227" xr3:uid="{940273AB-EBD5-4A84-9C06-A9CFB8CD8C0C}" uniqueName="227" name="application : WC_WS_DELETE" queryTableFieldId="227" dataDxfId="86"/>
    <tableColumn id="228" xr3:uid="{83259CF4-0A53-432B-9C0B-002161E094E2}" uniqueName="228" name="application : WC_WS_EXISTS" queryTableFieldId="228" dataDxfId="85"/>
    <tableColumn id="229" xr3:uid="{A58AE2D7-0758-42B8-BD54-38D5978A3150}" uniqueName="229" name="application : WC_WS_FILE_EXISTS_BOOL" queryTableFieldId="229" dataDxfId="84"/>
    <tableColumn id="230" xr3:uid="{8506B1E1-6E72-4DDD-9F5D-C56EDC7E150F}" uniqueName="230" name="application : WC_WS_GET_ACTIVE" queryTableFieldId="230" dataDxfId="83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82"/>
    <tableColumn id="199" xr3:uid="{FF18EEAE-6A10-41A9-9C7F-06CB630F0E26}" uniqueName="199" name="application : EXIT_APPLICATION" queryTableFieldId="199" dataDxfId="81"/>
    <tableColumn id="122" xr3:uid="{E3E88823-AD70-487E-9EAD-DEE85F51C971}" uniqueName="122" name="note : GET" queryTableFieldId="122" dataDxfId="80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79"/>
    <tableColumn id="121" xr3:uid="{C02B0156-F06F-436D-A45F-F709E84F960F}" uniqueName="121" name="note : EXISTS" queryTableFieldId="121" dataDxfId="78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77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76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75"/>
    <tableColumn id="120" xr3:uid="{4F737141-E916-42F2-9B37-0BFC35433F96}" uniqueName="120" name="note : DRW_SET_LOC" queryTableFieldId="120" dataDxfId="74"/>
    <tableColumn id="117" xr3:uid="{3F2B2305-1A22-4825-927A-CDE7E7648ECF}" uniqueName="117" name="note : COPY" queryTableFieldId="117" dataDxfId="73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72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71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70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69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68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67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66"/>
    <tableColumn id="131" xr3:uid="{D9F0EF93-10E8-46F5-BFB7-A3A5BE2FB87D}" uniqueName="131" name="worksheet : COPY_RANGE_VAL" queryTableFieldId="131" dataDxfId="65"/>
    <tableColumn id="134" xr3:uid="{77C4F95E-DB07-4CD2-B241-E3122E814A30}" uniqueName="134" name="worksheet : DUPLICATE" queryTableFieldId="134" dataDxfId="64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63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62"/>
    <tableColumn id="127" xr3:uid="{F5CFC9B3-76FE-47B7-9DB4-04623CC760E1}" uniqueName="127" name="worksheet : CLEAR_DATASHEET" queryTableFieldId="127" dataDxfId="61"/>
    <tableColumn id="128" xr3:uid="{8D9B72BF-7D8E-4D06-B521-74B4C36DBBE8}" uniqueName="128" name="worksheet : CLEAR_RANGE" queryTableFieldId="128" dataDxfId="60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59"/>
    <tableColumn id="151" xr3:uid="{B4FB7F20-8EFD-44DA-96F7-BD81325D3360}" uniqueName="151" name="worksheet : PIVOT_ADD_SUMFIELD" queryTableFieldId="151" dataDxfId="58"/>
    <tableColumn id="152" xr3:uid="{DC5E7DC7-7FC1-4619-8BF4-AACAC1FEC211}" uniqueName="152" name="worksheet : PIVOT_CREATE" queryTableFieldId="152" dataDxfId="57"/>
    <tableColumn id="153" xr3:uid="{08915D94-0E73-47E8-9572-50DA389A2597}" uniqueName="153" name="worksheet : PIVOT_DELETE" queryTableFieldId="153" dataDxfId="56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55"/>
    <tableColumn id="155" xr3:uid="{5A14007F-63FE-43CE-86E6-DAEF93488FA8}" uniqueName="155" name="worksheet : PIVOT_EXISTS" queryTableFieldId="155" dataDxfId="54"/>
    <tableColumn id="156" xr3:uid="{6475EB9C-C314-4589-B21C-E4D5C693C2DE}" uniqueName="156" name="worksheet : PIVOT_FIELD_EXISTS" queryTableFieldId="156" dataDxfId="53"/>
    <tableColumn id="157" xr3:uid="{C8DE95C0-E605-49BA-B6F4-64B744FE5BFF}" uniqueName="157" name="worksheet : PIVOT_FIELD_VISIBLE" queryTableFieldId="157" dataDxfId="52"/>
    <tableColumn id="158" xr3:uid="{904496B7-3628-48C2-901D-A9C7F0494345}" uniqueName="158" name="worksheet : PIVOT_FORMAT_VALFIELD" queryTableFieldId="158" dataDxfId="51"/>
    <tableColumn id="159" xr3:uid="{EBC9927E-C0F4-42A5-A3BE-DD33621AA357}" uniqueName="159" name="worksheet : PIVOT_SET_TARGET" queryTableFieldId="159" dataDxfId="50"/>
    <tableColumn id="160" xr3:uid="{37CC92CD-1975-4B73-AF94-0BCF2780910B}" uniqueName="160" name="worksheet : PIVOT_UPDATE" queryTableFieldId="160" dataDxfId="49"/>
    <tableColumn id="135" xr3:uid="{A79D8B82-E0A7-41E0-A571-2A8F8D32D685}" uniqueName="135" name="worksheet : EXECTAB" queryTableFieldId="135" dataDxfId="48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47"/>
    <tableColumn id="163" xr3:uid="{7B0DE85E-8D0A-4D98-B48A-19635D4F36F5}" uniqueName="163" name="worksheet : SELECT_CELL" queryTableFieldId="163" dataDxfId="46"/>
    <tableColumn id="164" xr3:uid="{9F05D1D4-29F4-4A8B-B0FB-05E7039E0041}" uniqueName="164" name="worksheet : SEND_NO_REGEN" queryTableFieldId="164" dataDxfId="45"/>
    <tableColumn id="165" xr3:uid="{4DCB7E32-A660-4765-BE79-8F11C2D12568}" uniqueName="165" name="worksheet : SEND_RESULTS" queryTableFieldId="165" dataDxfId="44"/>
    <tableColumn id="166" xr3:uid="{6D6BB299-142B-4495-840D-BB49D1022F7D}" uniqueName="166" name="worksheet : SET_VALUE" queryTableFieldId="166" dataDxfId="43"/>
    <tableColumn id="167" xr3:uid="{610ED158-2818-4B54-8129-041182EC7EA9}" uniqueName="167" name="worksheet : SHEETNAME_EXISTS" queryTableFieldId="167" dataDxfId="42"/>
    <tableColumn id="137" xr3:uid="{C23CA361-7EC0-4386-B6EA-56B3F7335214}" uniqueName="137" name="worksheet : GET_COL_COUNT" queryTableFieldId="137" dataDxfId="41"/>
    <tableColumn id="138" xr3:uid="{01F7B3AA-C206-4535-99F2-6D8FDB40B8A9}" uniqueName="138" name="worksheet : GET_COL_COUNTA" queryTableFieldId="138" dataDxfId="40"/>
    <tableColumn id="139" xr3:uid="{F16FF6C0-1C1F-4750-B786-E66379F35732}" uniqueName="139" name="worksheet : GET_COL_MAX" queryTableFieldId="139" dataDxfId="39"/>
    <tableColumn id="140" xr3:uid="{5606C4E2-9C25-4F62-9F95-F62D82CD62D8}" uniqueName="140" name="worksheet : GET_COL_MIN" queryTableFieldId="140" dataDxfId="38"/>
    <tableColumn id="141" xr3:uid="{7802637C-A617-4ED6-8711-2CA989445375}" uniqueName="141" name="worksheet : GET_COL_NEXT" queryTableFieldId="141" dataDxfId="37"/>
    <tableColumn id="142" xr3:uid="{612FAEA9-9D06-487E-AD67-CCDC3D8CB62E}" uniqueName="142" name="worksheet : GET_CURRENT" queryTableFieldId="142" dataDxfId="36"/>
    <tableColumn id="143" xr3:uid="{6F22B228-189F-4A19-B86F-EA854C51A04D}" uniqueName="143" name="worksheet : GET_ROW_COUNT" queryTableFieldId="143" dataDxfId="35"/>
    <tableColumn id="144" xr3:uid="{7325CB76-2965-4DF4-8DE7-AA8494DDC4FB}" uniqueName="144" name="worksheet : GET_ROW_COUNTA" queryTableFieldId="144" dataDxfId="34"/>
    <tableColumn id="145" xr3:uid="{A4C9EEB9-46A3-445B-B778-FA5FB06206ED}" uniqueName="145" name="worksheet : GET_ROW_MAX" queryTableFieldId="145" dataDxfId="33"/>
    <tableColumn id="146" xr3:uid="{60C125E1-4BDF-4427-AC3A-8CB7471DE4BB}" uniqueName="146" name="worksheet : GET_ROW_MIN" queryTableFieldId="146" dataDxfId="32"/>
    <tableColumn id="147" xr3:uid="{628CABDB-FE97-440C-9ACF-5334BB805830}" uniqueName="147" name="worksheet : GET_ROW_NEXT" queryTableFieldId="147" dataDxfId="31"/>
    <tableColumn id="168" xr3:uid="{138B15E3-1C84-403E-B357-611D572F363C}" uniqueName="168" name="worksheet : WRITE_FORMULAS" queryTableFieldId="168" dataDxfId="30"/>
    <tableColumn id="136" xr3:uid="{75D603C0-B001-4C92-9A1B-59C468281EB9}" uniqueName="136" name="worksheet : EXPORT_PROTABLE" queryTableFieldId="136" dataDxfId="29"/>
    <tableColumn id="132" xr3:uid="{509EA236-CDEB-4A50-9486-ABB9BDB3A901}" uniqueName="132" name="worksheet : DELETE" queryTableFieldId="132" dataDxfId="28"/>
    <tableColumn id="133" xr3:uid="{77F51BEF-E740-44A0-8A60-9ABEDF71475C}" uniqueName="133" name="worksheet : DELETE_RANGE" queryTableFieldId="133" dataDxfId="27"/>
    <tableColumn id="148" xr3:uid="{0B490415-DDEE-48EA-8942-2FDDBAEF4A7E}" uniqueName="148" name="worksheet : LOOP_WORKSHEET_UNTIL" queryTableFieldId="148" dataDxfId="26"/>
    <tableColumn id="235" xr3:uid="{09C2A8AE-9AA7-4682-9676-14170B48F5AF}" uniqueName="235" name="release : CLEAR_NITRO_RELEASE_NAMES" queryTableFieldId="235" dataDxfId="25"/>
    <tableColumn id="245" xr3:uid="{5E8D141B-A2F4-499F-B6C8-E64945354341}" uniqueName="245" name="release : SET_NITRO_RELEASE_DIR" queryTableFieldId="245" dataDxfId="24"/>
    <tableColumn id="236" xr3:uid="{21EF4083-9740-4939-9E0F-5B2923EE509B}" uniqueName="236" name="release : CLEAR_NITRO_SET_VARS" queryTableFieldId="236" dataDxfId="23"/>
    <tableColumn id="240" xr3:uid="{60D782C7-6674-40F4-973C-7DCBC8998D9D}" uniqueName="240" name="release : NITRO_RELEASE" queryTableFieldId="240" dataDxfId="22"/>
    <tableColumn id="234" xr3:uid="{B9E10AAC-F692-499C-BD9C-355151F5D99A}" uniqueName="234" name="release : CHANGE_TO" queryTableFieldId="234" dataDxfId="21"/>
    <tableColumn id="241" xr3:uid="{5ABFF869-BE12-4829-8716-5A65DA12F657}" uniqueName="241" name="release : PURGE_RELEASED" queryTableFieldId="241" dataDxfId="20"/>
    <tableColumn id="246" xr3:uid="{BBED463C-A4B8-4D8C-A35A-357CF34FB544}" uniqueName="246" name="release : SET_NITRO_RELEASE_NAME" queryTableFieldId="246" dataDxfId="19"/>
    <tableColumn id="238" xr3:uid="{23517BE3-38F5-47FA-802F-CF5F849FDBC6}" uniqueName="238" name="release : IN_RELEASE" queryTableFieldId="238" dataDxfId="18"/>
    <tableColumn id="239" xr3:uid="{DB3B5ED0-14B7-4CC1-B392-9945CC3485C4}" uniqueName="239" name="release : IN_RELEASE_BOOL" queryTableFieldId="239" dataDxfId="17"/>
    <tableColumn id="237" xr3:uid="{42F3A421-801E-4D59-B613-1FBE284125FD}" uniqueName="237" name="release : DELETE_RELEASED_FILE" queryTableFieldId="237" dataDxfId="16"/>
    <tableColumn id="247" xr3:uid="{70686A0A-2571-4AEA-8FB1-153CEE24E22C}" uniqueName="247" name="release : SET_NITRO_SAVE" queryTableFieldId="247" dataDxfId="15"/>
    <tableColumn id="244" xr3:uid="{50F2DEF6-386D-4970-8E09-D8EFCEC91B24}" uniqueName="244" name="release : SET_NITRO_KEEP_RELS" queryTableFieldId="244" dataDxfId="14"/>
    <tableColumn id="243" xr3:uid="{9B4A7EAB-A72E-4F9F-AD47-754B9D9B4DA6}" uniqueName="243" name="release : SET_NITRO_KEEP_FEAT" queryTableFieldId="243" dataDxfId="13"/>
    <tableColumn id="242" xr3:uid="{EE0B3D69-248B-4033-870D-2AFC844ABC21}" uniqueName="242" name="release : SET_NITRO_KEEP_COMP" queryTableFieldId="242" dataDxfId="12"/>
    <tableColumn id="233" xr3:uid="{6C6ED99D-6886-48AB-81B6-BEF8C0259778}" uniqueName="233" name="release : BACKUP_EXCEL" queryTableFieldId="23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B27" sqref="B27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211</v>
      </c>
    </row>
    <row r="2" spans="1:3" s="6" customFormat="1">
      <c r="A2" s="4"/>
      <c r="B2" s="5" t="s">
        <v>1296</v>
      </c>
    </row>
    <row r="3" spans="1:3" s="8" customFormat="1">
      <c r="A3" s="7"/>
    </row>
    <row r="4" spans="1:3" s="8" customFormat="1">
      <c r="A4" s="9"/>
      <c r="B4" s="10" t="s">
        <v>212</v>
      </c>
    </row>
    <row r="5" spans="1:3" s="8" customFormat="1">
      <c r="A5" s="9"/>
      <c r="B5" s="10" t="s">
        <v>213</v>
      </c>
    </row>
    <row r="6" spans="1:3" s="8" customFormat="1">
      <c r="A6" s="9"/>
      <c r="B6" s="10" t="s">
        <v>214</v>
      </c>
    </row>
    <row r="7" spans="1:3" s="8" customFormat="1">
      <c r="A7" s="9"/>
      <c r="B7" s="10" t="s">
        <v>215</v>
      </c>
    </row>
    <row r="8" spans="1:3" s="8" customFormat="1">
      <c r="A8" s="9"/>
    </row>
    <row r="9" spans="1:3" s="13" customFormat="1">
      <c r="A9" s="11" t="s">
        <v>216</v>
      </c>
      <c r="B9" s="12" t="s">
        <v>217</v>
      </c>
      <c r="C9" s="12" t="s">
        <v>218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1302</v>
      </c>
      <c r="C12" t="s">
        <v>1239</v>
      </c>
    </row>
  </sheetData>
  <conditionalFormatting sqref="A10:A11">
    <cfRule type="containsText" dxfId="10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CF1-0F80-4FAF-ADAF-8E9F06B45C5D}">
  <dimension ref="A1:N250"/>
  <sheetViews>
    <sheetView tabSelected="1" workbookViewId="0">
      <pane ySplit="4" topLeftCell="A6" activePane="bottomLeft" state="frozen"/>
      <selection pane="bottomLeft" activeCell="B24" sqref="B24"/>
    </sheetView>
  </sheetViews>
  <sheetFormatPr defaultRowHeight="15"/>
  <cols>
    <col min="1" max="1" width="9.140625" style="15" customWidth="1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1296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38" t="s">
        <v>230</v>
      </c>
      <c r="F3" s="38"/>
      <c r="G3" s="39" t="s">
        <v>229</v>
      </c>
      <c r="H3" s="40"/>
      <c r="I3" s="18"/>
      <c r="J3" s="41" t="s">
        <v>228</v>
      </c>
      <c r="K3" s="42"/>
      <c r="L3" s="42"/>
      <c r="M3" s="42"/>
      <c r="N3" s="43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19"/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1254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19"/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20" t="s">
        <v>1299</v>
      </c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19"/>
      <c r="B9" t="str" cm="1">
        <f t="array" ref="B9">nc_command[worksheet : TABLE_CREATE]</f>
        <v>worksheet : TABLE_CREATE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>_YES_</v>
      </c>
      <c r="E9" t="s">
        <v>1255</v>
      </c>
      <c r="G9" t="s">
        <v>1240</v>
      </c>
      <c r="J9" t="str">
        <f>IFERROR(INDEX(xx_matrix[SrcModel],MATCH($B9,xx_matrix[command],0)),"")</f>
        <v>tblName
 - REG:regVar</v>
      </c>
      <c r="K9" t="str">
        <f>IFERROR(INDEX(xx_matrix[SrcObject],MATCH($B9,xx_matrix[command],0)),"")</f>
        <v>Default: "nc_default"
Arg Options: 
 - col1,col2,col3... (use regional list sep)(opt)
 - REG:regVar</v>
      </c>
      <c r="L9" t="str">
        <f>IFERROR(INDEX(xx_matrix[TgtModel],MATCH($B9,xx_matrix[command],0)),"")</f>
        <v>tgtWorksheet
 - REG:regVar</v>
      </c>
      <c r="M9" t="str">
        <f>IFERROR(INDEX(xx_matrix[TgtObject],MATCH($B9,xx_matrix[command],0)),"")</f>
        <v>Default: A1
Arg Options: 
 - tgtCellAddress(opt)
 - regVar
 - REG:regVar</v>
      </c>
      <c r="N9" t="str">
        <f>IFERROR(INDEX(xx_matrix[Instructions],MATCH($B9,xx_matrix[command],0)),"")</f>
        <v>Create an Excel Table Object</v>
      </c>
    </row>
    <row r="10" spans="1:14">
      <c r="A10" s="19"/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/>
      </c>
      <c r="J10" t="str">
        <f>IFERROR(INDEX(xx_matrix[SrcModel],MATCH($B10,xx_matrix[command],0)),"")</f>
        <v/>
      </c>
      <c r="K10" t="str">
        <f>IFERROR(INDEX(xx_matrix[SrcObject],MATCH($B10,xx_matrix[command],0)),"")</f>
        <v/>
      </c>
      <c r="L10" t="str">
        <f>IFERROR(INDEX(xx_matrix[TgtModel],MATCH($B10,xx_matrix[command],0)),"")</f>
        <v/>
      </c>
      <c r="M10" t="str">
        <f>IFERROR(INDEX(xx_matrix[TgtObject],MATCH($B10,xx_matrix[command],0)),"")</f>
        <v/>
      </c>
      <c r="N10" t="str">
        <f>IFERROR(INDEX(xx_matrix[Instructions],MATCH($B10,xx_matrix[command],0)),"")</f>
        <v/>
      </c>
    </row>
    <row r="11" spans="1:14">
      <c r="A11" s="20" t="s">
        <v>1301</v>
      </c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19"/>
      <c r="B12" t="str" cm="1">
        <f t="array" ref="B12">nc_command[tbl_application : LIST_FILES]</f>
        <v>tbl_application : LIST_FILES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>_YES_</v>
      </c>
      <c r="E12" t="s">
        <v>1295</v>
      </c>
      <c r="H12" t="s">
        <v>1255</v>
      </c>
      <c r="J12" t="str">
        <f>IFERROR(INDEX(xx_matrix[SrcModel],MATCH($B12,xx_matrix[command],0)),"")</f>
        <v>Default: all files
Arg Options: 
 - model.ext(*)
 - REG:regVar</v>
      </c>
      <c r="K12">
        <f>IFERROR(INDEX(xx_matrix[SrcObject],MATCH($B12,xx_matrix[command],0)),"")</f>
        <v>0</v>
      </c>
      <c r="L12">
        <f>IFERROR(INDEX(xx_matrix[TgtModel],MATCH($B12,xx_matrix[command],0)),"")</f>
        <v>0</v>
      </c>
      <c r="M12" t="str">
        <f>IFERROR(INDEX(xx_matrix[TgtObject],MATCH($B12,xx_matrix[command],0)),"")</f>
        <v>tblName
 - tblName
 - REG:regVar
Default Table Cols:
[itemName, itemRoot]</v>
      </c>
      <c r="N12" t="str">
        <f>IFERROR(INDEX(xx_matrix[Instructions],MATCH($B12,xx_matrix[command],0)),"")</f>
        <v>Get the list of files from a Directory and append them to a Table</v>
      </c>
    </row>
    <row r="13" spans="1:14">
      <c r="A13" s="19"/>
      <c r="B13" t="str" cm="1">
        <f t="array" ref="B13">nc_command[tbl_application : LIST_FILES]</f>
        <v>tbl_application : LIST_FILES</v>
      </c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>_YES_</v>
      </c>
      <c r="E13" t="s">
        <v>1261</v>
      </c>
      <c r="H13" t="s">
        <v>1255</v>
      </c>
      <c r="J13" t="str">
        <f>IFERROR(INDEX(xx_matrix[SrcModel],MATCH($B13,xx_matrix[command],0)),"")</f>
        <v>Default: all files
Arg Options: 
 - model.ext(*)
 - REG:regVar</v>
      </c>
      <c r="K13">
        <f>IFERROR(INDEX(xx_matrix[SrcObject],MATCH($B13,xx_matrix[command],0)),"")</f>
        <v>0</v>
      </c>
      <c r="L13">
        <f>IFERROR(INDEX(xx_matrix[TgtModel],MATCH($B13,xx_matrix[command],0)),"")</f>
        <v>0</v>
      </c>
      <c r="M13" t="str">
        <f>IFERROR(INDEX(xx_matrix[TgtObject],MATCH($B13,xx_matrix[command],0)),"")</f>
        <v>tblName
 - tblName
 - REG:regVar
Default Table Cols:
[itemName, itemRoot]</v>
      </c>
      <c r="N13" t="str">
        <f>IFERROR(INDEX(xx_matrix[Instructions],MATCH($B13,xx_matrix[command],0)),"")</f>
        <v>Get the list of files from a Directory and append them to a Table</v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1300</v>
      </c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nc_command[tbl_model : OPEN]</f>
        <v>tbl_model : OPEN</v>
      </c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>_YES_</v>
      </c>
      <c r="E16" t="s">
        <v>1256</v>
      </c>
      <c r="J16" t="str">
        <f>IFERROR(INDEX(xx_matrix[SrcModel],MATCH($B16,xx_matrix[command],0)),"")</f>
        <v>TBL:tblName
 - TBL:tblSrc
 - REG:regVar
Table Cols:
[itemName*, tgtItem(opt), tgtModel(opt), compName(opt)]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Open and Activate a Model from Hard Drive of InSession</v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1297</v>
      </c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nc_command[application : DIR_DELETE]</f>
        <v>application : DIR_DELETE</v>
      </c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>YES</v>
      </c>
      <c r="E19" t="s">
        <v>1303</v>
      </c>
      <c r="J19" t="str">
        <f>IFERROR(INDEX(xx_matrix[SrcModel],MATCH($B19,xx_matrix[command],0)),"")</f>
        <v>dirname(*)
 - REG:regVar</v>
      </c>
      <c r="K19">
        <f>IFERROR(INDEX(xx_matrix[SrcObject],MATCH($B19,xx_matrix[command],0)),"")</f>
        <v>0</v>
      </c>
      <c r="L19">
        <f>IFERROR(INDEX(xx_matrix[TgtModel],MATCH($B19,xx_matrix[command],0)),"")</f>
        <v>0</v>
      </c>
      <c r="M19">
        <f>IFERROR(INDEX(xx_matrix[TgtObject],MATCH($B19,xx_matrix[command],0)),"")</f>
        <v>0</v>
      </c>
      <c r="N19" t="str">
        <f>IFERROR(INDEX(xx_matrix[Instructions],MATCH($B19,xx_matrix[command],0)),"")</f>
        <v>Delete Directory(ies) (Relative)</v>
      </c>
    </row>
    <row r="20" spans="1:14">
      <c r="A20" s="19"/>
      <c r="B20" t="str" cm="1">
        <f t="array" ref="B20">nc_command[application : DIR_CREATE]</f>
        <v>application : DIR_CREATE</v>
      </c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>YES</v>
      </c>
      <c r="E20" t="s">
        <v>1303</v>
      </c>
      <c r="J20" t="str">
        <f>IFERROR(INDEX(xx_matrix[SrcModel],MATCH($B20,xx_matrix[command],0)),"")</f>
        <v>dirname
 - REG:regVar</v>
      </c>
      <c r="K20">
        <f>IFERROR(INDEX(xx_matrix[SrcObject],MATCH($B20,xx_matrix[command],0)),"")</f>
        <v>0</v>
      </c>
      <c r="L20">
        <f>IFERROR(INDEX(xx_matrix[TgtModel],MATCH($B20,xx_matrix[command],0)),"")</f>
        <v>0</v>
      </c>
      <c r="M20">
        <f>IFERROR(INDEX(xx_matrix[TgtObject],MATCH($B20,xx_matrix[command],0)),"")</f>
        <v>0</v>
      </c>
      <c r="N20" t="str">
        <f>IFERROR(INDEX(xx_matrix[Instructions],MATCH($B20,xx_matrix[command],0)),"")</f>
        <v>Create a new Directory (Relative)</v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20" t="s">
        <v>1298</v>
      </c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B23" t="str" cm="1">
        <f t="array" ref="B23">nc_command[tbl_model : EXPORT_STEP]</f>
        <v>tbl_model : EXPORT_STEP</v>
      </c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>_YES_</v>
      </c>
      <c r="E23" t="s">
        <v>1256</v>
      </c>
      <c r="F23" t="s">
        <v>1303</v>
      </c>
      <c r="J23" t="str">
        <f>IFERROR(INDEX(xx_matrix[SrcModel],MATCH($B23,xx_matrix[command],0)),"")</f>
        <v>TBL:tblName
 - TBL:tblSrc
 - REG:regVar
Table Cols:
[itemName*, outputName(opt)]</v>
      </c>
      <c r="K23" t="str">
        <f>IFERROR(INDEX(xx_matrix[SrcObject],MATCH($B23,xx_matrix[command],0)),"")</f>
        <v>Default: currentDir
Arg Options: 
 - dirname(opt)
 - REG:regVar</v>
      </c>
      <c r="L23" t="str">
        <f>IFERROR(INDEX(xx_matrix[TgtModel],MATCH($B23,xx_matrix[command],0)),"")</f>
        <v>Default: solids
Arg Options: 
 - geomType (blank/default/solids/surfaces/quilts/wireframe/wireframe_surfaces)(opt)
 - REG:regVar</v>
      </c>
      <c r="M23">
        <f>IFERROR(INDEX(xx_matrix[TgtObject],MATCH($B23,xx_matrix[command],0)),"")</f>
        <v>0</v>
      </c>
      <c r="N23" t="str">
        <f>IFERROR(INDEX(xx_matrix[Instructions],MATCH($B23,xx_matrix[command],0)),"")</f>
        <v>Export a STEP File</v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29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</sheetData>
  <mergeCells count="3">
    <mergeCell ref="E3:F3"/>
    <mergeCell ref="G3:H3"/>
    <mergeCell ref="J3:N3"/>
  </mergeCells>
  <conditionalFormatting sqref="A5:A1000">
    <cfRule type="containsText" dxfId="9" priority="6" stopIfTrue="1" operator="containsText" text="//">
      <formula>NOT(ISERROR(SEARCH("//",A5)))</formula>
    </cfRule>
  </conditionalFormatting>
  <conditionalFormatting sqref="D5:D250">
    <cfRule type="cellIs" dxfId="8" priority="5" stopIfTrue="1" operator="equal">
      <formula>"_YES_"</formula>
    </cfRule>
    <cfRule type="cellIs" dxfId="7" priority="7" stopIfTrue="1" operator="equal">
      <formula>FALSE</formula>
    </cfRule>
    <cfRule type="cellIs" dxfId="6" priority="8" stopIfTrue="1" operator="equal">
      <formula>"YES"</formula>
    </cfRule>
    <cfRule type="containsBlanks" dxfId="5" priority="9">
      <formula>LEN(TRIM(D5))=0</formula>
    </cfRule>
  </conditionalFormatting>
  <conditionalFormatting sqref="E5:H250">
    <cfRule type="expression" dxfId="4" priority="1" stopIfTrue="1">
      <formula>IF($D5="NO",TRUE,FALSE)</formula>
    </cfRule>
    <cfRule type="expression" dxfId="3" priority="2" stopIfTrue="1">
      <formula>IF(AND($D5&lt;&gt;"",$D5&lt;&gt;"NO",ISLOGICAL(E5)),TRUE,FALSE)</formula>
    </cfRule>
    <cfRule type="expression" dxfId="2" priority="3" stopIfTrue="1">
      <formula>IF(AND($D5&lt;&gt;"",$D5&lt;&gt;"NO",J5&lt;&gt;0,J5&lt;&gt;""), TRUE,FALSE)</formula>
    </cfRule>
  </conditionalFormatting>
  <conditionalFormatting sqref="J5:N250">
    <cfRule type="cellIs" dxfId="1" priority="4" operator="equal">
      <formula>0</formula>
    </cfRule>
  </conditionalFormatting>
  <dataValidations count="19">
    <dataValidation allowBlank="1" showInputMessage="1" showErrorMessage="1" promptTitle="Nitro-CELL Command" prompt="Delete Directory(ies) (Relative)" sqref="B19" xr:uid="{E1F663D4-CB37-454A-8AE9-1461D2FB0E45}"/>
    <dataValidation allowBlank="1" showInputMessage="1" showErrorMessage="1" promptTitle="Nitro-CELL Command" prompt="Create a new Directory (Relative)" sqref="B20" xr:uid="{4919F4E7-227E-4B76-8DA1-BF46E0FBAE8B}"/>
    <dataValidation allowBlank="1" showInputMessage="1" showErrorMessage="1" promptTitle="Nitro-CELL Command" prompt="Create an Excel Table Object" sqref="B9" xr:uid="{F049665B-A779-495C-8A93-1E7396A6756A}"/>
    <dataValidation allowBlank="1" showInputMessage="1" showErrorMessage="1" promptTitle="Nitro-CELL Argument" prompt="Default: &quot;nc_default&quot;_x000a_Arg Options: _x000a_ - col1,col2,col3... (use regional list sep)(opt)_x000a_ - REG:regVar" sqref="F9" xr:uid="{75CCDB4C-8E1E-4DA4-B86E-F833EDE45CA4}"/>
    <dataValidation allowBlank="1" showInputMessage="1" showErrorMessage="1" promptTitle="Nitro-CELL Argument" prompt="tgtWorksheet_x000a_ - REG:regVar" sqref="G9" xr:uid="{93D0083B-FEEF-43E0-94F7-2D329F06C83A}"/>
    <dataValidation allowBlank="1" showInputMessage="1" showErrorMessage="1" promptTitle="Nitro-CELL Argument" sqref="F12:G13 H23 F20" xr:uid="{0B652804-00B0-4382-909B-78FD09573B50}"/>
    <dataValidation allowBlank="1" showInputMessage="1" showErrorMessage="1" promptTitle="Nitro-CELL Command" prompt="Export a STEP File" sqref="B23" xr:uid="{6EC3A2F5-BCEA-453E-B42A-8911467D1242}"/>
    <dataValidation allowBlank="1" showInputMessage="1" showErrorMessage="1" promptTitle="Nitro-CELL Argument" prompt="Default: solids_x000a_Arg Options: _x000a_ - geomType (blank/default/solids/surfaces/quilts/wireframe/wireframe_surfaces)(opt)_x000a_ - REG:regVar" sqref="G23" xr:uid="{78B930FD-5B5E-433E-8325-30767FE16CEE}"/>
    <dataValidation allowBlank="1" showInputMessage="1" showErrorMessage="1" promptTitle="Nitro-CELL Argument" prompt="TBL:tblName_x000a_ - TBL:tblSrc_x000a_ - REG:regVar_x000a__x000a_Table Cols:_x000a_[itemName*, outputName(opt)]" sqref="E23" xr:uid="{F3660382-FD31-4C4F-B166-3E277B33D7AA}"/>
    <dataValidation allowBlank="1" showInputMessage="1" showErrorMessage="1" promptTitle="Nitro-CELL Argument" prompt="TBL:tblName_x000a_ - TBL:tblSrc_x000a_ - REG:regVar_x000a__x000a_Table Cols:_x000a_[itemName*, tgtItem(opt), tgtModel(opt), compName(opt)]" sqref="E16" xr:uid="{4D90E2CF-24E8-491E-A7B2-554DB383255D}"/>
    <dataValidation allowBlank="1" showInputMessage="1" showErrorMessage="1" promptTitle="Nitro-CELL Argument" prompt="tblName_x000a_ - REG:regVar" sqref="E9" xr:uid="{8CC7E8F8-BBEA-496E-AB7C-C799CF51B001}"/>
    <dataValidation allowBlank="1" showInputMessage="1" showErrorMessage="1" promptTitle="Nitro-CELL Argument" prompt="tblName_x000a_ - tblName_x000a_ - REG:regVar_x000a__x000a_Default Table Cols:_x000a_[itemName, itemRoot]" sqref="H12:H13" xr:uid="{88FF5DE6-D074-42CF-8534-320801C5E3D0}"/>
    <dataValidation allowBlank="1" showInputMessage="1" showErrorMessage="1" promptTitle="Nitro-CELL Command" prompt="Open and Activate a Model from Hard Drive of InSession" sqref="B16" xr:uid="{EDADEE59-6BA0-4EED-9E59-8F9A376D5BBF}"/>
    <dataValidation allowBlank="1" showInputMessage="1" showErrorMessage="1" promptTitle="Nitro-CELL Argument" prompt="Default: all files_x000a_Arg Options: _x000a_ - model.ext(*)_x000a_ - REG:regVar" sqref="E12:E13" xr:uid="{8DF14B4C-8CDA-4C95-BEB2-76A2B7EF59DE}"/>
    <dataValidation allowBlank="1" showInputMessage="1" showErrorMessage="1" promptTitle="Nitro-CELL Command" sqref="B2:B3" xr:uid="{A580CE49-378A-40CF-B0AB-2A4A9CDF59BB}"/>
    <dataValidation allowBlank="1" showInputMessage="1" showErrorMessage="1" promptTitle="Nitro-CELL Command" prompt="Get the list of files from a Directory and append them to a Table" sqref="B12:B13" xr:uid="{09750F0A-B3D3-48A2-8EEC-6B1C0B10845E}"/>
    <dataValidation allowBlank="1" showInputMessage="1" showErrorMessage="1" promptTitle="Nitro-CELL Argument" prompt="Default: currentDir_x000a_Arg Options: _x000a_ - dirname(opt)_x000a_ - REG:regVar" sqref="F23" xr:uid="{1FE708BC-247C-481F-BE77-0985D9AE616D}"/>
    <dataValidation allowBlank="1" showInputMessage="1" showErrorMessage="1" promptTitle="Nitro-CELL Argument" prompt="dirname(*)_x000a_ - REG:regVar" sqref="E19" xr:uid="{99AAC9F6-8D8A-4A5C-9F19-7019718627AA}"/>
    <dataValidation allowBlank="1" showInputMessage="1" showErrorMessage="1" promptTitle="Nitro-CELL Argument" prompt="dirname_x000a_ - REG:regVar" sqref="E20" xr:uid="{9D47C50B-8D80-4177-9933-48536072CADC}"/>
  </dataValidations>
  <hyperlinks>
    <hyperlink ref="A1" r:id="rId1" xr:uid="{6324AB4C-3834-409A-9986-E9F3F4A4DF90}"/>
    <hyperlink ref="A2" location="NitroCELL_MAIN!A1" display="MAIN" xr:uid="{204E5F05-28A5-43DE-A79D-76FAFA16D430}"/>
    <hyperlink ref="B4" r:id="rId2" xr:uid="{BE1C00FD-D364-48A1-B074-502AD084ABC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3EF-A2BB-4740-96EC-C448136FB99D}">
  <dimension ref="A1:B26"/>
  <sheetViews>
    <sheetView workbookViewId="0">
      <selection activeCell="A7" sqref="A7"/>
    </sheetView>
  </sheetViews>
  <sheetFormatPr defaultRowHeight="15"/>
  <cols>
    <col min="1" max="1" width="39" bestFit="1" customWidth="1"/>
    <col min="2" max="2" width="35" bestFit="1" customWidth="1"/>
  </cols>
  <sheetData>
    <row r="1" spans="1:2">
      <c r="A1" t="s">
        <v>1241</v>
      </c>
      <c r="B1" s="14" t="s">
        <v>1242</v>
      </c>
    </row>
    <row r="2" spans="1:2">
      <c r="A2" t="s">
        <v>1257</v>
      </c>
      <c r="B2" s="14" t="s">
        <v>1243</v>
      </c>
    </row>
    <row r="3" spans="1:2">
      <c r="A3" t="s">
        <v>1258</v>
      </c>
      <c r="B3" s="14" t="s">
        <v>1259</v>
      </c>
    </row>
    <row r="4" spans="1:2">
      <c r="A4" t="s">
        <v>1260</v>
      </c>
      <c r="B4" s="14" t="s">
        <v>1247</v>
      </c>
    </row>
    <row r="5" spans="1:2">
      <c r="A5" t="s">
        <v>1304</v>
      </c>
      <c r="B5" s="14" t="s">
        <v>1305</v>
      </c>
    </row>
    <row r="6" spans="1:2">
      <c r="A6" t="s">
        <v>1262</v>
      </c>
      <c r="B6" s="14" t="s">
        <v>1263</v>
      </c>
    </row>
    <row r="7" spans="1:2">
      <c r="A7" t="s">
        <v>1264</v>
      </c>
      <c r="B7" s="14" t="s">
        <v>1265</v>
      </c>
    </row>
    <row r="8" spans="1:2">
      <c r="A8" t="s">
        <v>1266</v>
      </c>
      <c r="B8" s="14" t="s">
        <v>1267</v>
      </c>
    </row>
    <row r="9" spans="1:2">
      <c r="A9" t="s">
        <v>1268</v>
      </c>
      <c r="B9" s="14" t="s">
        <v>1269</v>
      </c>
    </row>
    <row r="10" spans="1:2">
      <c r="A10" t="s">
        <v>1270</v>
      </c>
      <c r="B10" s="14" t="s">
        <v>1271</v>
      </c>
    </row>
    <row r="11" spans="1:2">
      <c r="A11" t="s">
        <v>1272</v>
      </c>
      <c r="B11" s="14" t="s">
        <v>1273</v>
      </c>
    </row>
    <row r="12" spans="1:2">
      <c r="A12" t="s">
        <v>1274</v>
      </c>
      <c r="B12" s="14" t="s">
        <v>1244</v>
      </c>
    </row>
    <row r="13" spans="1:2">
      <c r="A13" t="s">
        <v>1275</v>
      </c>
      <c r="B13" s="14" t="s">
        <v>1245</v>
      </c>
    </row>
    <row r="14" spans="1:2">
      <c r="A14" t="s">
        <v>1276</v>
      </c>
      <c r="B14" s="14" t="s">
        <v>1246</v>
      </c>
    </row>
    <row r="15" spans="1:2">
      <c r="A15" t="s">
        <v>1277</v>
      </c>
      <c r="B15" s="14" t="s">
        <v>1248</v>
      </c>
    </row>
    <row r="16" spans="1:2">
      <c r="A16" t="s">
        <v>1278</v>
      </c>
      <c r="B16" s="14" t="s">
        <v>1249</v>
      </c>
    </row>
    <row r="17" spans="1:2">
      <c r="A17" t="s">
        <v>1279</v>
      </c>
      <c r="B17" s="14" t="s">
        <v>1250</v>
      </c>
    </row>
    <row r="18" spans="1:2">
      <c r="A18" t="s">
        <v>1280</v>
      </c>
      <c r="B18" s="14" t="s">
        <v>1251</v>
      </c>
    </row>
    <row r="19" spans="1:2">
      <c r="A19" t="s">
        <v>1281</v>
      </c>
      <c r="B19" s="14" t="s">
        <v>1252</v>
      </c>
    </row>
    <row r="20" spans="1:2">
      <c r="A20" t="s">
        <v>1282</v>
      </c>
      <c r="B20" s="14" t="s">
        <v>1253</v>
      </c>
    </row>
    <row r="21" spans="1:2">
      <c r="A21" t="s">
        <v>1283</v>
      </c>
      <c r="B21" s="14" t="s">
        <v>1284</v>
      </c>
    </row>
    <row r="22" spans="1:2">
      <c r="A22" t="s">
        <v>1285</v>
      </c>
      <c r="B22" s="14" t="s">
        <v>1286</v>
      </c>
    </row>
    <row r="23" spans="1:2">
      <c r="A23" t="s">
        <v>1287</v>
      </c>
      <c r="B23" s="14" t="s">
        <v>1288</v>
      </c>
    </row>
    <row r="24" spans="1:2">
      <c r="A24" t="s">
        <v>1289</v>
      </c>
      <c r="B24" s="14" t="s">
        <v>1290</v>
      </c>
    </row>
    <row r="25" spans="1:2">
      <c r="A25" t="s">
        <v>1291</v>
      </c>
      <c r="B25" s="14" t="s">
        <v>1292</v>
      </c>
    </row>
    <row r="26" spans="1:2">
      <c r="A26" t="s">
        <v>1293</v>
      </c>
      <c r="B26" s="14" t="s">
        <v>1294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A7" sqref="A7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1" t="s">
        <v>210</v>
      </c>
    </row>
    <row r="3" spans="2:404">
      <c r="B3" t="s">
        <v>234</v>
      </c>
      <c r="J3" t="s">
        <v>425</v>
      </c>
      <c r="K3" t="s">
        <v>316</v>
      </c>
      <c r="L3" t="s">
        <v>657</v>
      </c>
      <c r="M3" t="s">
        <v>318</v>
      </c>
      <c r="N3" t="s">
        <v>754</v>
      </c>
      <c r="O3" t="s">
        <v>342</v>
      </c>
      <c r="P3" t="s">
        <v>635</v>
      </c>
      <c r="Q3" t="s">
        <v>346</v>
      </c>
      <c r="R3" t="s">
        <v>637</v>
      </c>
      <c r="S3" t="s">
        <v>347</v>
      </c>
      <c r="T3" t="s">
        <v>638</v>
      </c>
      <c r="U3" t="s">
        <v>326</v>
      </c>
      <c r="V3" t="s">
        <v>762</v>
      </c>
      <c r="W3" t="s">
        <v>327</v>
      </c>
      <c r="X3" t="s">
        <v>763</v>
      </c>
      <c r="Y3" t="s">
        <v>293</v>
      </c>
      <c r="Z3" t="s">
        <v>295</v>
      </c>
      <c r="AA3" t="s">
        <v>296</v>
      </c>
      <c r="AB3" t="s">
        <v>235</v>
      </c>
      <c r="AC3" t="s">
        <v>759</v>
      </c>
      <c r="AD3" t="s">
        <v>236</v>
      </c>
      <c r="AE3" t="s">
        <v>237</v>
      </c>
      <c r="AF3" t="s">
        <v>761</v>
      </c>
      <c r="AG3" t="s">
        <v>238</v>
      </c>
      <c r="AH3" t="s">
        <v>760</v>
      </c>
      <c r="AI3" t="s">
        <v>240</v>
      </c>
      <c r="AJ3" t="s">
        <v>850</v>
      </c>
      <c r="AK3" t="s">
        <v>243</v>
      </c>
      <c r="AL3" t="s">
        <v>852</v>
      </c>
      <c r="AM3" t="s">
        <v>288</v>
      </c>
      <c r="AN3" t="s">
        <v>811</v>
      </c>
      <c r="AO3" t="s">
        <v>289</v>
      </c>
      <c r="AP3" t="s">
        <v>812</v>
      </c>
      <c r="AQ3" t="s">
        <v>287</v>
      </c>
      <c r="AR3" t="s">
        <v>813</v>
      </c>
      <c r="AS3" t="s">
        <v>283</v>
      </c>
      <c r="AT3" t="s">
        <v>815</v>
      </c>
      <c r="AU3" t="s">
        <v>714</v>
      </c>
      <c r="AV3" t="s">
        <v>282</v>
      </c>
      <c r="AW3" t="s">
        <v>814</v>
      </c>
      <c r="AX3" t="s">
        <v>284</v>
      </c>
      <c r="AY3" t="s">
        <v>808</v>
      </c>
      <c r="AZ3" t="s">
        <v>285</v>
      </c>
      <c r="BA3" t="s">
        <v>809</v>
      </c>
      <c r="BB3" t="s">
        <v>286</v>
      </c>
      <c r="BC3" t="s">
        <v>810</v>
      </c>
      <c r="BD3" t="s">
        <v>290</v>
      </c>
      <c r="BE3" t="s">
        <v>798</v>
      </c>
      <c r="BF3" t="s">
        <v>291</v>
      </c>
      <c r="BG3" t="s">
        <v>799</v>
      </c>
      <c r="BH3" t="s">
        <v>292</v>
      </c>
      <c r="BI3" t="s">
        <v>816</v>
      </c>
      <c r="BJ3" t="s">
        <v>241</v>
      </c>
      <c r="BK3" t="s">
        <v>851</v>
      </c>
      <c r="BL3" t="s">
        <v>242</v>
      </c>
      <c r="BM3" t="s">
        <v>784</v>
      </c>
      <c r="BN3" t="s">
        <v>245</v>
      </c>
      <c r="BO3" t="s">
        <v>853</v>
      </c>
      <c r="BP3" t="s">
        <v>248</v>
      </c>
      <c r="BQ3" t="s">
        <v>817</v>
      </c>
      <c r="BR3" t="s">
        <v>260</v>
      </c>
      <c r="BS3" t="s">
        <v>239</v>
      </c>
      <c r="BT3" t="s">
        <v>514</v>
      </c>
      <c r="BU3" t="s">
        <v>703</v>
      </c>
      <c r="BV3" t="s">
        <v>244</v>
      </c>
      <c r="BW3" t="s">
        <v>246</v>
      </c>
      <c r="BX3" t="s">
        <v>247</v>
      </c>
      <c r="BY3" t="s">
        <v>249</v>
      </c>
      <c r="BZ3" t="s">
        <v>250</v>
      </c>
      <c r="CA3" t="s">
        <v>251</v>
      </c>
      <c r="CB3" t="s">
        <v>252</v>
      </c>
      <c r="CC3" t="s">
        <v>253</v>
      </c>
      <c r="CD3" t="s">
        <v>254</v>
      </c>
      <c r="CE3" t="s">
        <v>255</v>
      </c>
      <c r="CF3" t="s">
        <v>256</v>
      </c>
      <c r="CG3" t="s">
        <v>257</v>
      </c>
      <c r="CH3" t="s">
        <v>258</v>
      </c>
      <c r="CI3" t="s">
        <v>259</v>
      </c>
      <c r="CJ3" t="s">
        <v>261</v>
      </c>
      <c r="CK3" t="s">
        <v>262</v>
      </c>
      <c r="CL3" t="s">
        <v>263</v>
      </c>
      <c r="CM3" t="s">
        <v>264</v>
      </c>
      <c r="CN3" t="s">
        <v>265</v>
      </c>
      <c r="CO3" t="s">
        <v>266</v>
      </c>
      <c r="CP3" t="s">
        <v>267</v>
      </c>
      <c r="CQ3" t="s">
        <v>268</v>
      </c>
      <c r="CR3" t="s">
        <v>269</v>
      </c>
      <c r="CS3" t="s">
        <v>270</v>
      </c>
      <c r="CT3" t="s">
        <v>271</v>
      </c>
      <c r="CU3" t="s">
        <v>1231</v>
      </c>
      <c r="CV3" t="s">
        <v>1236</v>
      </c>
      <c r="CW3" t="s">
        <v>321</v>
      </c>
      <c r="CX3" t="s">
        <v>766</v>
      </c>
      <c r="CY3" t="s">
        <v>322</v>
      </c>
      <c r="CZ3" t="s">
        <v>630</v>
      </c>
      <c r="DA3" t="s">
        <v>323</v>
      </c>
      <c r="DB3" t="s">
        <v>756</v>
      </c>
      <c r="DC3" t="s">
        <v>324</v>
      </c>
      <c r="DD3" t="s">
        <v>758</v>
      </c>
      <c r="DE3" t="s">
        <v>325</v>
      </c>
      <c r="DF3" t="s">
        <v>328</v>
      </c>
      <c r="DG3" t="s">
        <v>764</v>
      </c>
      <c r="DH3" t="s">
        <v>329</v>
      </c>
      <c r="DI3" t="s">
        <v>765</v>
      </c>
      <c r="DJ3" t="s">
        <v>330</v>
      </c>
      <c r="DK3" t="s">
        <v>848</v>
      </c>
      <c r="DL3" t="s">
        <v>331</v>
      </c>
      <c r="DM3" t="s">
        <v>849</v>
      </c>
      <c r="DN3" t="s">
        <v>332</v>
      </c>
      <c r="DO3" t="s">
        <v>757</v>
      </c>
      <c r="DP3" t="s">
        <v>333</v>
      </c>
      <c r="DQ3" t="s">
        <v>516</v>
      </c>
      <c r="DR3" t="s">
        <v>777</v>
      </c>
      <c r="DS3" t="s">
        <v>517</v>
      </c>
      <c r="DT3" t="s">
        <v>509</v>
      </c>
      <c r="DU3" t="s">
        <v>779</v>
      </c>
      <c r="DV3" t="s">
        <v>511</v>
      </c>
      <c r="DW3" t="s">
        <v>781</v>
      </c>
      <c r="DX3" t="s">
        <v>510</v>
      </c>
      <c r="DY3" t="s">
        <v>780</v>
      </c>
      <c r="DZ3" t="s">
        <v>518</v>
      </c>
      <c r="EA3" t="s">
        <v>776</v>
      </c>
      <c r="EB3" t="s">
        <v>508</v>
      </c>
      <c r="EC3" t="s">
        <v>847</v>
      </c>
      <c r="ED3" t="s">
        <v>272</v>
      </c>
      <c r="EE3" t="s">
        <v>273</v>
      </c>
      <c r="EF3" t="s">
        <v>274</v>
      </c>
      <c r="EG3" t="s">
        <v>275</v>
      </c>
      <c r="EH3" t="s">
        <v>276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294</v>
      </c>
      <c r="EO3" t="s">
        <v>297</v>
      </c>
      <c r="EP3" t="s">
        <v>653</v>
      </c>
      <c r="EQ3" t="s">
        <v>298</v>
      </c>
      <c r="ER3" t="s">
        <v>654</v>
      </c>
      <c r="ES3" t="s">
        <v>299</v>
      </c>
      <c r="ET3" t="s">
        <v>655</v>
      </c>
      <c r="EU3" t="s">
        <v>300</v>
      </c>
      <c r="EV3" t="s">
        <v>800</v>
      </c>
      <c r="EW3" t="s">
        <v>301</v>
      </c>
      <c r="EX3" t="s">
        <v>801</v>
      </c>
      <c r="EY3" t="s">
        <v>302</v>
      </c>
      <c r="EZ3" t="s">
        <v>802</v>
      </c>
      <c r="FA3" t="s">
        <v>303</v>
      </c>
      <c r="FB3" t="s">
        <v>803</v>
      </c>
      <c r="FC3" t="s">
        <v>1156</v>
      </c>
      <c r="FD3" t="s">
        <v>304</v>
      </c>
      <c r="FE3" t="s">
        <v>827</v>
      </c>
      <c r="FF3" t="s">
        <v>305</v>
      </c>
      <c r="FG3" t="s">
        <v>306</v>
      </c>
      <c r="FH3" t="s">
        <v>307</v>
      </c>
      <c r="FI3" t="s">
        <v>308</v>
      </c>
      <c r="FJ3" t="s">
        <v>309</v>
      </c>
      <c r="FK3" t="s">
        <v>310</v>
      </c>
      <c r="FL3" t="s">
        <v>311</v>
      </c>
      <c r="FM3" t="s">
        <v>312</v>
      </c>
      <c r="FN3" t="s">
        <v>656</v>
      </c>
      <c r="FO3" t="s">
        <v>313</v>
      </c>
      <c r="FP3" t="s">
        <v>507</v>
      </c>
      <c r="FQ3" t="s">
        <v>782</v>
      </c>
      <c r="FR3" t="s">
        <v>314</v>
      </c>
      <c r="FS3" t="s">
        <v>501</v>
      </c>
      <c r="FT3" t="s">
        <v>315</v>
      </c>
      <c r="FU3" t="s">
        <v>513</v>
      </c>
      <c r="FV3" t="s">
        <v>317</v>
      </c>
      <c r="FW3" t="s">
        <v>319</v>
      </c>
      <c r="FX3" t="s">
        <v>320</v>
      </c>
      <c r="FY3" t="s">
        <v>755</v>
      </c>
      <c r="FZ3" t="s">
        <v>1145</v>
      </c>
      <c r="GA3" t="s">
        <v>1157</v>
      </c>
      <c r="GB3" t="s">
        <v>348</v>
      </c>
      <c r="GC3" t="s">
        <v>639</v>
      </c>
      <c r="GD3" t="s">
        <v>343</v>
      </c>
      <c r="GE3" t="s">
        <v>344</v>
      </c>
      <c r="GF3" t="s">
        <v>636</v>
      </c>
      <c r="GG3" t="s">
        <v>345</v>
      </c>
      <c r="GH3" t="s">
        <v>341</v>
      </c>
      <c r="GI3" t="s">
        <v>634</v>
      </c>
      <c r="GJ3" t="s">
        <v>340</v>
      </c>
      <c r="GK3" t="s">
        <v>633</v>
      </c>
      <c r="GL3" t="s">
        <v>339</v>
      </c>
      <c r="GM3" t="s">
        <v>632</v>
      </c>
      <c r="GN3" t="s">
        <v>1147</v>
      </c>
      <c r="GO3" t="s">
        <v>399</v>
      </c>
      <c r="GP3" t="s">
        <v>400</v>
      </c>
      <c r="GQ3" t="s">
        <v>401</v>
      </c>
      <c r="GR3" t="s">
        <v>402</v>
      </c>
      <c r="GS3" t="s">
        <v>403</v>
      </c>
      <c r="GT3" t="s">
        <v>404</v>
      </c>
      <c r="GU3" t="s">
        <v>405</v>
      </c>
      <c r="GV3" t="s">
        <v>406</v>
      </c>
      <c r="GW3" t="s">
        <v>407</v>
      </c>
      <c r="GX3" t="s">
        <v>408</v>
      </c>
      <c r="GY3" t="s">
        <v>409</v>
      </c>
      <c r="GZ3" t="s">
        <v>410</v>
      </c>
      <c r="HA3" t="s">
        <v>858</v>
      </c>
      <c r="HB3" t="s">
        <v>411</v>
      </c>
      <c r="HC3" t="s">
        <v>412</v>
      </c>
      <c r="HD3" t="s">
        <v>413</v>
      </c>
      <c r="HE3" t="s">
        <v>414</v>
      </c>
      <c r="HF3" t="s">
        <v>415</v>
      </c>
      <c r="HG3" t="s">
        <v>416</v>
      </c>
      <c r="HH3" t="s">
        <v>417</v>
      </c>
      <c r="HI3" t="s">
        <v>418</v>
      </c>
      <c r="HJ3" t="s">
        <v>419</v>
      </c>
      <c r="HK3" t="s">
        <v>420</v>
      </c>
      <c r="HL3" t="s">
        <v>421</v>
      </c>
      <c r="HM3" t="s">
        <v>422</v>
      </c>
      <c r="HN3" t="s">
        <v>423</v>
      </c>
      <c r="HO3" t="s">
        <v>805</v>
      </c>
      <c r="HP3" t="s">
        <v>424</v>
      </c>
      <c r="HQ3" t="s">
        <v>431</v>
      </c>
      <c r="HR3" t="s">
        <v>807</v>
      </c>
      <c r="HS3" t="s">
        <v>767</v>
      </c>
      <c r="HT3" t="s">
        <v>806</v>
      </c>
      <c r="HU3" t="s">
        <v>426</v>
      </c>
      <c r="HV3" t="s">
        <v>430</v>
      </c>
      <c r="HW3" t="s">
        <v>795</v>
      </c>
      <c r="HX3" t="s">
        <v>436</v>
      </c>
      <c r="HY3" t="s">
        <v>445</v>
      </c>
      <c r="HZ3" t="s">
        <v>753</v>
      </c>
      <c r="IA3" t="s">
        <v>432</v>
      </c>
      <c r="IB3" t="s">
        <v>796</v>
      </c>
      <c r="IC3" t="s">
        <v>433</v>
      </c>
      <c r="ID3" t="s">
        <v>769</v>
      </c>
      <c r="IE3" t="s">
        <v>434</v>
      </c>
      <c r="IF3" t="s">
        <v>435</v>
      </c>
      <c r="IG3" t="s">
        <v>437</v>
      </c>
      <c r="IH3" t="s">
        <v>538</v>
      </c>
      <c r="II3" t="s">
        <v>438</v>
      </c>
      <c r="IJ3" t="s">
        <v>439</v>
      </c>
      <c r="IK3" t="s">
        <v>440</v>
      </c>
      <c r="IL3" t="s">
        <v>441</v>
      </c>
      <c r="IM3" t="s">
        <v>523</v>
      </c>
      <c r="IN3" t="s">
        <v>443</v>
      </c>
      <c r="IO3" t="s">
        <v>442</v>
      </c>
      <c r="IP3" t="s">
        <v>444</v>
      </c>
      <c r="IQ3" t="s">
        <v>427</v>
      </c>
      <c r="IR3" t="s">
        <v>458</v>
      </c>
      <c r="IS3" t="s">
        <v>428</v>
      </c>
      <c r="IT3" t="s">
        <v>544</v>
      </c>
      <c r="IU3" t="s">
        <v>446</v>
      </c>
      <c r="IV3" t="s">
        <v>447</v>
      </c>
      <c r="IW3" t="s">
        <v>448</v>
      </c>
      <c r="IX3" t="s">
        <v>449</v>
      </c>
      <c r="IY3" t="s">
        <v>450</v>
      </c>
      <c r="IZ3" t="s">
        <v>451</v>
      </c>
      <c r="JA3" t="s">
        <v>452</v>
      </c>
      <c r="JB3" t="s">
        <v>453</v>
      </c>
      <c r="JC3" t="s">
        <v>454</v>
      </c>
      <c r="JD3" t="s">
        <v>455</v>
      </c>
      <c r="JE3" t="s">
        <v>456</v>
      </c>
      <c r="JF3" t="s">
        <v>771</v>
      </c>
      <c r="JG3" t="s">
        <v>457</v>
      </c>
      <c r="JH3" t="s">
        <v>429</v>
      </c>
      <c r="JI3" t="s">
        <v>354</v>
      </c>
      <c r="JJ3" t="s">
        <v>631</v>
      </c>
      <c r="JK3" t="s">
        <v>355</v>
      </c>
      <c r="JL3" t="s">
        <v>353</v>
      </c>
      <c r="JM3" t="s">
        <v>804</v>
      </c>
      <c r="JN3" t="s">
        <v>356</v>
      </c>
      <c r="JO3" t="s">
        <v>842</v>
      </c>
      <c r="JP3" t="s">
        <v>350</v>
      </c>
      <c r="JQ3" t="s">
        <v>846</v>
      </c>
      <c r="JR3" t="s">
        <v>351</v>
      </c>
      <c r="JS3" t="s">
        <v>352</v>
      </c>
      <c r="JT3" t="s">
        <v>349</v>
      </c>
      <c r="JU3" t="s">
        <v>845</v>
      </c>
      <c r="JV3" t="s">
        <v>1199</v>
      </c>
      <c r="JW3" t="s">
        <v>481</v>
      </c>
      <c r="JX3" t="s">
        <v>832</v>
      </c>
      <c r="JY3" t="s">
        <v>788</v>
      </c>
      <c r="JZ3" t="s">
        <v>482</v>
      </c>
      <c r="KA3" t="s">
        <v>483</v>
      </c>
      <c r="KB3" t="s">
        <v>484</v>
      </c>
      <c r="KC3" t="s">
        <v>836</v>
      </c>
      <c r="KD3" t="s">
        <v>485</v>
      </c>
      <c r="KE3" t="s">
        <v>793</v>
      </c>
      <c r="KF3" t="s">
        <v>487</v>
      </c>
      <c r="KG3" t="s">
        <v>488</v>
      </c>
      <c r="KH3" t="s">
        <v>492</v>
      </c>
      <c r="KI3" t="s">
        <v>493</v>
      </c>
      <c r="KJ3" t="s">
        <v>494</v>
      </c>
      <c r="KK3" t="s">
        <v>495</v>
      </c>
      <c r="KL3" t="s">
        <v>496</v>
      </c>
      <c r="KM3" t="s">
        <v>497</v>
      </c>
      <c r="KN3" t="s">
        <v>498</v>
      </c>
      <c r="KO3" t="s">
        <v>475</v>
      </c>
      <c r="KP3" t="s">
        <v>476</v>
      </c>
      <c r="KQ3" t="s">
        <v>477</v>
      </c>
      <c r="KR3" t="s">
        <v>478</v>
      </c>
      <c r="KS3" t="s">
        <v>785</v>
      </c>
      <c r="KT3" t="s">
        <v>786</v>
      </c>
      <c r="KU3" t="s">
        <v>787</v>
      </c>
      <c r="KV3" t="s">
        <v>479</v>
      </c>
      <c r="KW3" t="s">
        <v>645</v>
      </c>
      <c r="KX3" t="s">
        <v>486</v>
      </c>
      <c r="KY3" t="s">
        <v>480</v>
      </c>
      <c r="KZ3" t="s">
        <v>646</v>
      </c>
      <c r="LA3" t="s">
        <v>789</v>
      </c>
      <c r="LB3" t="s">
        <v>489</v>
      </c>
      <c r="LC3" t="s">
        <v>647</v>
      </c>
      <c r="LD3" t="s">
        <v>491</v>
      </c>
      <c r="LE3" t="s">
        <v>840</v>
      </c>
      <c r="LF3" t="s">
        <v>490</v>
      </c>
      <c r="LG3" t="s">
        <v>838</v>
      </c>
      <c r="LH3" t="s">
        <v>336</v>
      </c>
      <c r="LI3" t="s">
        <v>834</v>
      </c>
      <c r="LJ3" t="s">
        <v>334</v>
      </c>
      <c r="LK3" t="s">
        <v>831</v>
      </c>
      <c r="LL3" t="s">
        <v>338</v>
      </c>
      <c r="LM3" t="s">
        <v>828</v>
      </c>
      <c r="LN3" t="s">
        <v>337</v>
      </c>
      <c r="LO3" t="s">
        <v>835</v>
      </c>
      <c r="LP3" t="s">
        <v>500</v>
      </c>
      <c r="LQ3" t="s">
        <v>797</v>
      </c>
      <c r="LR3" t="s">
        <v>499</v>
      </c>
      <c r="LS3" t="s">
        <v>833</v>
      </c>
      <c r="LT3" t="s">
        <v>335</v>
      </c>
      <c r="LU3" t="s">
        <v>826</v>
      </c>
      <c r="LV3" t="s">
        <v>825</v>
      </c>
      <c r="LW3" t="s">
        <v>357</v>
      </c>
      <c r="LX3" t="s">
        <v>856</v>
      </c>
      <c r="LY3" t="s">
        <v>361</v>
      </c>
      <c r="LZ3" t="s">
        <v>362</v>
      </c>
      <c r="MA3" t="s">
        <v>365</v>
      </c>
      <c r="MB3" t="s">
        <v>519</v>
      </c>
      <c r="MC3" t="s">
        <v>391</v>
      </c>
      <c r="MD3" t="s">
        <v>522</v>
      </c>
      <c r="ME3" t="s">
        <v>521</v>
      </c>
      <c r="MF3" t="s">
        <v>520</v>
      </c>
      <c r="MG3" t="s">
        <v>733</v>
      </c>
      <c r="MH3" t="s">
        <v>859</v>
      </c>
      <c r="MI3" t="s">
        <v>861</v>
      </c>
      <c r="MJ3" t="s">
        <v>358</v>
      </c>
      <c r="MK3" t="s">
        <v>359</v>
      </c>
      <c r="ML3" t="s">
        <v>360</v>
      </c>
      <c r="MM3" t="s">
        <v>737</v>
      </c>
      <c r="MN3" t="s">
        <v>380</v>
      </c>
      <c r="MO3" t="s">
        <v>381</v>
      </c>
      <c r="MP3" t="s">
        <v>382</v>
      </c>
      <c r="MQ3" t="s">
        <v>383</v>
      </c>
      <c r="MR3" t="s">
        <v>854</v>
      </c>
      <c r="MS3" t="s">
        <v>384</v>
      </c>
      <c r="MT3" t="s">
        <v>385</v>
      </c>
      <c r="MU3" t="s">
        <v>386</v>
      </c>
      <c r="MV3" t="s">
        <v>387</v>
      </c>
      <c r="MW3" t="s">
        <v>388</v>
      </c>
      <c r="MX3" t="s">
        <v>389</v>
      </c>
      <c r="MY3" t="s">
        <v>390</v>
      </c>
      <c r="MZ3" t="s">
        <v>366</v>
      </c>
      <c r="NA3" t="s">
        <v>622</v>
      </c>
      <c r="NB3" t="s">
        <v>624</v>
      </c>
      <c r="NC3" t="s">
        <v>748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368</v>
      </c>
      <c r="NK3" t="s">
        <v>369</v>
      </c>
      <c r="NL3" t="s">
        <v>370</v>
      </c>
      <c r="NM3" t="s">
        <v>371</v>
      </c>
      <c r="NN3" t="s">
        <v>372</v>
      </c>
      <c r="NO3" t="s">
        <v>373</v>
      </c>
      <c r="NP3" t="s">
        <v>374</v>
      </c>
      <c r="NQ3" t="s">
        <v>375</v>
      </c>
      <c r="NR3" t="s">
        <v>376</v>
      </c>
      <c r="NS3" t="s">
        <v>377</v>
      </c>
      <c r="NT3" t="s">
        <v>378</v>
      </c>
      <c r="NU3" t="s">
        <v>398</v>
      </c>
      <c r="NV3" t="s">
        <v>367</v>
      </c>
      <c r="NW3" t="s">
        <v>363</v>
      </c>
      <c r="NX3" t="s">
        <v>364</v>
      </c>
      <c r="NY3" t="s">
        <v>379</v>
      </c>
      <c r="NZ3" t="s">
        <v>461</v>
      </c>
      <c r="OA3" t="s">
        <v>471</v>
      </c>
      <c r="OB3" t="s">
        <v>462</v>
      </c>
      <c r="OC3" t="s">
        <v>466</v>
      </c>
      <c r="OD3" t="s">
        <v>460</v>
      </c>
      <c r="OE3" t="s">
        <v>467</v>
      </c>
      <c r="OF3" t="s">
        <v>472</v>
      </c>
      <c r="OG3" t="s">
        <v>464</v>
      </c>
      <c r="OH3" t="s">
        <v>465</v>
      </c>
      <c r="OI3" t="s">
        <v>463</v>
      </c>
      <c r="OJ3" t="s">
        <v>473</v>
      </c>
      <c r="OK3" t="s">
        <v>470</v>
      </c>
      <c r="OL3" t="s">
        <v>469</v>
      </c>
      <c r="OM3" t="s">
        <v>468</v>
      </c>
      <c r="ON3" t="s">
        <v>459</v>
      </c>
    </row>
    <row r="4" spans="2:404">
      <c r="J4" t="s">
        <v>425</v>
      </c>
      <c r="K4" t="s">
        <v>316</v>
      </c>
      <c r="L4" t="s">
        <v>657</v>
      </c>
      <c r="M4" t="s">
        <v>318</v>
      </c>
      <c r="N4" t="s">
        <v>754</v>
      </c>
      <c r="O4" t="s">
        <v>342</v>
      </c>
      <c r="P4" t="s">
        <v>635</v>
      </c>
      <c r="Q4" t="s">
        <v>346</v>
      </c>
      <c r="R4" t="s">
        <v>637</v>
      </c>
      <c r="S4" t="s">
        <v>347</v>
      </c>
      <c r="T4" t="s">
        <v>638</v>
      </c>
      <c r="U4" t="s">
        <v>326</v>
      </c>
      <c r="V4" t="s">
        <v>762</v>
      </c>
      <c r="W4" t="s">
        <v>327</v>
      </c>
      <c r="X4" t="s">
        <v>763</v>
      </c>
      <c r="Y4" t="s">
        <v>293</v>
      </c>
      <c r="Z4" t="s">
        <v>295</v>
      </c>
      <c r="AA4" t="s">
        <v>296</v>
      </c>
      <c r="AB4" t="s">
        <v>235</v>
      </c>
      <c r="AC4" t="s">
        <v>759</v>
      </c>
      <c r="AD4" t="s">
        <v>236</v>
      </c>
      <c r="AE4" t="s">
        <v>237</v>
      </c>
      <c r="AF4" t="s">
        <v>761</v>
      </c>
      <c r="AG4" t="s">
        <v>238</v>
      </c>
      <c r="AH4" t="s">
        <v>760</v>
      </c>
      <c r="AI4" t="s">
        <v>240</v>
      </c>
      <c r="AJ4" t="s">
        <v>850</v>
      </c>
      <c r="AK4" t="s">
        <v>243</v>
      </c>
      <c r="AL4" t="s">
        <v>852</v>
      </c>
      <c r="AM4" t="s">
        <v>288</v>
      </c>
      <c r="AN4" t="s">
        <v>811</v>
      </c>
      <c r="AO4" t="s">
        <v>289</v>
      </c>
      <c r="AP4" t="s">
        <v>812</v>
      </c>
      <c r="AQ4" t="s">
        <v>287</v>
      </c>
      <c r="AR4" t="s">
        <v>813</v>
      </c>
      <c r="AS4" t="s">
        <v>283</v>
      </c>
      <c r="AT4" t="s">
        <v>815</v>
      </c>
      <c r="AU4" t="s">
        <v>714</v>
      </c>
      <c r="AV4" t="s">
        <v>282</v>
      </c>
      <c r="AW4" t="s">
        <v>814</v>
      </c>
      <c r="AX4" t="s">
        <v>284</v>
      </c>
      <c r="AY4" t="s">
        <v>808</v>
      </c>
      <c r="AZ4" t="s">
        <v>285</v>
      </c>
      <c r="BA4" t="s">
        <v>809</v>
      </c>
      <c r="BB4" t="s">
        <v>286</v>
      </c>
      <c r="BC4" t="s">
        <v>810</v>
      </c>
      <c r="BD4" t="s">
        <v>290</v>
      </c>
      <c r="BE4" t="s">
        <v>798</v>
      </c>
      <c r="BF4" t="s">
        <v>291</v>
      </c>
      <c r="BG4" t="s">
        <v>799</v>
      </c>
      <c r="BH4" t="s">
        <v>292</v>
      </c>
      <c r="BI4" t="s">
        <v>816</v>
      </c>
      <c r="BJ4" t="s">
        <v>241</v>
      </c>
      <c r="BK4" t="s">
        <v>851</v>
      </c>
      <c r="BL4" t="s">
        <v>242</v>
      </c>
      <c r="BM4" t="s">
        <v>784</v>
      </c>
      <c r="BN4" t="s">
        <v>245</v>
      </c>
      <c r="BO4" t="s">
        <v>853</v>
      </c>
      <c r="BP4" t="s">
        <v>248</v>
      </c>
      <c r="BQ4" t="s">
        <v>817</v>
      </c>
      <c r="BR4" t="s">
        <v>260</v>
      </c>
      <c r="BS4" t="s">
        <v>239</v>
      </c>
      <c r="BT4" t="s">
        <v>514</v>
      </c>
      <c r="BU4" t="s">
        <v>703</v>
      </c>
      <c r="BV4" t="s">
        <v>244</v>
      </c>
      <c r="BW4" t="s">
        <v>246</v>
      </c>
      <c r="BX4" t="s">
        <v>247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261</v>
      </c>
      <c r="CK4" t="s">
        <v>262</v>
      </c>
      <c r="CL4" t="s">
        <v>263</v>
      </c>
      <c r="CM4" t="s">
        <v>264</v>
      </c>
      <c r="CN4" t="s">
        <v>265</v>
      </c>
      <c r="CO4" t="s">
        <v>266</v>
      </c>
      <c r="CP4" t="s">
        <v>267</v>
      </c>
      <c r="CQ4" t="s">
        <v>268</v>
      </c>
      <c r="CR4" t="s">
        <v>269</v>
      </c>
      <c r="CS4" t="s">
        <v>270</v>
      </c>
      <c r="CT4" t="s">
        <v>271</v>
      </c>
      <c r="CU4" t="s">
        <v>1231</v>
      </c>
      <c r="CV4" t="s">
        <v>1236</v>
      </c>
      <c r="CW4" t="s">
        <v>321</v>
      </c>
      <c r="CX4" t="s">
        <v>766</v>
      </c>
      <c r="CY4" t="s">
        <v>322</v>
      </c>
      <c r="CZ4" t="s">
        <v>630</v>
      </c>
      <c r="DA4" t="s">
        <v>323</v>
      </c>
      <c r="DB4" t="s">
        <v>756</v>
      </c>
      <c r="DC4" t="s">
        <v>324</v>
      </c>
      <c r="DD4" t="s">
        <v>758</v>
      </c>
      <c r="DE4" t="s">
        <v>325</v>
      </c>
      <c r="DF4" t="s">
        <v>328</v>
      </c>
      <c r="DG4" t="s">
        <v>764</v>
      </c>
      <c r="DH4" t="s">
        <v>329</v>
      </c>
      <c r="DI4" t="s">
        <v>765</v>
      </c>
      <c r="DJ4" t="s">
        <v>330</v>
      </c>
      <c r="DK4" t="s">
        <v>848</v>
      </c>
      <c r="DL4" t="s">
        <v>331</v>
      </c>
      <c r="DM4" t="s">
        <v>849</v>
      </c>
      <c r="DN4" t="s">
        <v>332</v>
      </c>
      <c r="DO4" t="s">
        <v>757</v>
      </c>
      <c r="DP4" t="s">
        <v>333</v>
      </c>
      <c r="DQ4" t="s">
        <v>516</v>
      </c>
      <c r="DR4" t="s">
        <v>777</v>
      </c>
      <c r="DS4" t="s">
        <v>517</v>
      </c>
      <c r="DT4" t="s">
        <v>509</v>
      </c>
      <c r="DU4" t="s">
        <v>779</v>
      </c>
      <c r="DV4" t="s">
        <v>511</v>
      </c>
      <c r="DW4" t="s">
        <v>781</v>
      </c>
      <c r="DX4" t="s">
        <v>510</v>
      </c>
      <c r="DY4" t="s">
        <v>780</v>
      </c>
      <c r="DZ4" t="s">
        <v>518</v>
      </c>
      <c r="EA4" t="s">
        <v>776</v>
      </c>
      <c r="EB4" t="s">
        <v>508</v>
      </c>
      <c r="EC4" t="s">
        <v>847</v>
      </c>
      <c r="ED4" t="s">
        <v>272</v>
      </c>
      <c r="EE4" t="s">
        <v>273</v>
      </c>
      <c r="EF4" t="s">
        <v>274</v>
      </c>
      <c r="EG4" t="s">
        <v>275</v>
      </c>
      <c r="EH4" t="s">
        <v>276</v>
      </c>
      <c r="EI4" t="s">
        <v>277</v>
      </c>
      <c r="EJ4" t="s">
        <v>278</v>
      </c>
      <c r="EK4" t="s">
        <v>279</v>
      </c>
      <c r="EL4" t="s">
        <v>280</v>
      </c>
      <c r="EM4" t="s">
        <v>281</v>
      </c>
      <c r="EN4" t="s">
        <v>294</v>
      </c>
      <c r="EO4" t="s">
        <v>297</v>
      </c>
      <c r="EP4" t="s">
        <v>653</v>
      </c>
      <c r="EQ4" t="s">
        <v>298</v>
      </c>
      <c r="ER4" t="s">
        <v>654</v>
      </c>
      <c r="ES4" t="s">
        <v>299</v>
      </c>
      <c r="ET4" t="s">
        <v>655</v>
      </c>
      <c r="EU4" t="s">
        <v>300</v>
      </c>
      <c r="EV4" t="s">
        <v>800</v>
      </c>
      <c r="EW4" t="s">
        <v>301</v>
      </c>
      <c r="EX4" t="s">
        <v>801</v>
      </c>
      <c r="EY4" t="s">
        <v>302</v>
      </c>
      <c r="EZ4" t="s">
        <v>802</v>
      </c>
      <c r="FA4" t="s">
        <v>303</v>
      </c>
      <c r="FB4" t="s">
        <v>803</v>
      </c>
      <c r="FC4" t="s">
        <v>1156</v>
      </c>
      <c r="FD4" t="s">
        <v>304</v>
      </c>
      <c r="FE4" t="s">
        <v>827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 t="s">
        <v>311</v>
      </c>
      <c r="FM4" t="s">
        <v>312</v>
      </c>
      <c r="FN4" t="s">
        <v>656</v>
      </c>
      <c r="FO4" t="s">
        <v>313</v>
      </c>
      <c r="FP4" t="s">
        <v>507</v>
      </c>
      <c r="FQ4" t="s">
        <v>782</v>
      </c>
      <c r="FR4" t="s">
        <v>314</v>
      </c>
      <c r="FS4" t="s">
        <v>501</v>
      </c>
      <c r="FT4" t="s">
        <v>315</v>
      </c>
      <c r="FU4" t="s">
        <v>513</v>
      </c>
      <c r="FV4" t="s">
        <v>317</v>
      </c>
      <c r="FW4" t="s">
        <v>319</v>
      </c>
      <c r="FX4" t="s">
        <v>320</v>
      </c>
      <c r="FY4" t="s">
        <v>755</v>
      </c>
      <c r="FZ4" t="s">
        <v>1145</v>
      </c>
      <c r="GA4" t="s">
        <v>1157</v>
      </c>
      <c r="GB4" t="s">
        <v>348</v>
      </c>
      <c r="GC4" t="s">
        <v>639</v>
      </c>
      <c r="GD4" t="s">
        <v>343</v>
      </c>
      <c r="GE4" t="s">
        <v>344</v>
      </c>
      <c r="GF4" t="s">
        <v>636</v>
      </c>
      <c r="GG4" t="s">
        <v>345</v>
      </c>
      <c r="GH4" t="s">
        <v>341</v>
      </c>
      <c r="GI4" t="s">
        <v>634</v>
      </c>
      <c r="GJ4" t="s">
        <v>340</v>
      </c>
      <c r="GK4" t="s">
        <v>633</v>
      </c>
      <c r="GL4" t="s">
        <v>339</v>
      </c>
      <c r="GM4" t="s">
        <v>632</v>
      </c>
      <c r="GN4" t="s">
        <v>1147</v>
      </c>
      <c r="GO4" t="s">
        <v>399</v>
      </c>
      <c r="GP4" t="s">
        <v>400</v>
      </c>
      <c r="GQ4" t="s">
        <v>401</v>
      </c>
      <c r="GR4" t="s">
        <v>402</v>
      </c>
      <c r="GS4" t="s">
        <v>403</v>
      </c>
      <c r="GT4" t="s">
        <v>404</v>
      </c>
      <c r="GU4" t="s">
        <v>405</v>
      </c>
      <c r="GV4" t="s">
        <v>406</v>
      </c>
      <c r="GW4" t="s">
        <v>407</v>
      </c>
      <c r="GX4" t="s">
        <v>408</v>
      </c>
      <c r="GY4" t="s">
        <v>409</v>
      </c>
      <c r="GZ4" t="s">
        <v>410</v>
      </c>
      <c r="HA4" t="s">
        <v>858</v>
      </c>
      <c r="HB4" t="s">
        <v>411</v>
      </c>
      <c r="HC4" t="s">
        <v>412</v>
      </c>
      <c r="HD4" t="s">
        <v>413</v>
      </c>
      <c r="HE4" t="s">
        <v>414</v>
      </c>
      <c r="HF4" t="s">
        <v>415</v>
      </c>
      <c r="HG4" t="s">
        <v>416</v>
      </c>
      <c r="HH4" t="s">
        <v>417</v>
      </c>
      <c r="HI4" t="s">
        <v>418</v>
      </c>
      <c r="HJ4" t="s">
        <v>419</v>
      </c>
      <c r="HK4" t="s">
        <v>420</v>
      </c>
      <c r="HL4" t="s">
        <v>421</v>
      </c>
      <c r="HM4" t="s">
        <v>422</v>
      </c>
      <c r="HN4" t="s">
        <v>423</v>
      </c>
      <c r="HO4" t="s">
        <v>805</v>
      </c>
      <c r="HP4" t="s">
        <v>424</v>
      </c>
      <c r="HQ4" t="s">
        <v>431</v>
      </c>
      <c r="HR4" t="s">
        <v>807</v>
      </c>
      <c r="HS4" t="s">
        <v>767</v>
      </c>
      <c r="HT4" t="s">
        <v>806</v>
      </c>
      <c r="HU4" t="s">
        <v>426</v>
      </c>
      <c r="HV4" t="s">
        <v>430</v>
      </c>
      <c r="HW4" t="s">
        <v>795</v>
      </c>
      <c r="HX4" t="s">
        <v>436</v>
      </c>
      <c r="HY4" t="s">
        <v>445</v>
      </c>
      <c r="HZ4" t="s">
        <v>753</v>
      </c>
      <c r="IA4" t="s">
        <v>432</v>
      </c>
      <c r="IB4" t="s">
        <v>796</v>
      </c>
      <c r="IC4" t="s">
        <v>433</v>
      </c>
      <c r="ID4" t="s">
        <v>769</v>
      </c>
      <c r="IE4" t="s">
        <v>434</v>
      </c>
      <c r="IF4" t="s">
        <v>435</v>
      </c>
      <c r="IG4" t="s">
        <v>437</v>
      </c>
      <c r="IH4" t="s">
        <v>538</v>
      </c>
      <c r="II4" t="s">
        <v>438</v>
      </c>
      <c r="IJ4" t="s">
        <v>439</v>
      </c>
      <c r="IK4" t="s">
        <v>440</v>
      </c>
      <c r="IL4" t="s">
        <v>441</v>
      </c>
      <c r="IM4" t="s">
        <v>523</v>
      </c>
      <c r="IN4" t="s">
        <v>443</v>
      </c>
      <c r="IO4" t="s">
        <v>442</v>
      </c>
      <c r="IP4" t="s">
        <v>444</v>
      </c>
      <c r="IQ4" t="s">
        <v>427</v>
      </c>
      <c r="IR4" t="s">
        <v>458</v>
      </c>
      <c r="IS4" t="s">
        <v>428</v>
      </c>
      <c r="IT4" t="s">
        <v>544</v>
      </c>
      <c r="IU4" t="s">
        <v>446</v>
      </c>
      <c r="IV4" t="s">
        <v>447</v>
      </c>
      <c r="IW4" t="s">
        <v>448</v>
      </c>
      <c r="IX4" t="s">
        <v>449</v>
      </c>
      <c r="IY4" t="s">
        <v>450</v>
      </c>
      <c r="IZ4" t="s">
        <v>451</v>
      </c>
      <c r="JA4" t="s">
        <v>452</v>
      </c>
      <c r="JB4" t="s">
        <v>453</v>
      </c>
      <c r="JC4" t="s">
        <v>454</v>
      </c>
      <c r="JD4" t="s">
        <v>455</v>
      </c>
      <c r="JE4" t="s">
        <v>456</v>
      </c>
      <c r="JF4" t="s">
        <v>771</v>
      </c>
      <c r="JG4" t="s">
        <v>457</v>
      </c>
      <c r="JH4" t="s">
        <v>429</v>
      </c>
      <c r="JI4" t="s">
        <v>354</v>
      </c>
      <c r="JJ4" t="s">
        <v>631</v>
      </c>
      <c r="JK4" t="s">
        <v>355</v>
      </c>
      <c r="JL4" t="s">
        <v>353</v>
      </c>
      <c r="JM4" t="s">
        <v>804</v>
      </c>
      <c r="JN4" t="s">
        <v>356</v>
      </c>
      <c r="JO4" t="s">
        <v>842</v>
      </c>
      <c r="JP4" t="s">
        <v>350</v>
      </c>
      <c r="JQ4" t="s">
        <v>846</v>
      </c>
      <c r="JR4" t="s">
        <v>351</v>
      </c>
      <c r="JS4" t="s">
        <v>352</v>
      </c>
      <c r="JT4" t="s">
        <v>349</v>
      </c>
      <c r="JU4" t="s">
        <v>845</v>
      </c>
      <c r="JV4" t="s">
        <v>1199</v>
      </c>
      <c r="JW4" t="s">
        <v>481</v>
      </c>
      <c r="JX4" t="s">
        <v>832</v>
      </c>
      <c r="JY4" t="s">
        <v>788</v>
      </c>
      <c r="JZ4" t="s">
        <v>482</v>
      </c>
      <c r="KA4" t="s">
        <v>483</v>
      </c>
      <c r="KB4" t="s">
        <v>484</v>
      </c>
      <c r="KC4" t="s">
        <v>836</v>
      </c>
      <c r="KD4" t="s">
        <v>485</v>
      </c>
      <c r="KE4" t="s">
        <v>793</v>
      </c>
      <c r="KF4" t="s">
        <v>487</v>
      </c>
      <c r="KG4" t="s">
        <v>488</v>
      </c>
      <c r="KH4" t="s">
        <v>492</v>
      </c>
      <c r="KI4" t="s">
        <v>493</v>
      </c>
      <c r="KJ4" t="s">
        <v>494</v>
      </c>
      <c r="KK4" t="s">
        <v>495</v>
      </c>
      <c r="KL4" t="s">
        <v>496</v>
      </c>
      <c r="KM4" t="s">
        <v>497</v>
      </c>
      <c r="KN4" t="s">
        <v>498</v>
      </c>
      <c r="KO4" t="s">
        <v>475</v>
      </c>
      <c r="KP4" t="s">
        <v>476</v>
      </c>
      <c r="KQ4" t="s">
        <v>477</v>
      </c>
      <c r="KR4" t="s">
        <v>478</v>
      </c>
      <c r="KS4" t="s">
        <v>785</v>
      </c>
      <c r="KT4" t="s">
        <v>786</v>
      </c>
      <c r="KU4" t="s">
        <v>787</v>
      </c>
      <c r="KV4" t="s">
        <v>479</v>
      </c>
      <c r="KW4" t="s">
        <v>645</v>
      </c>
      <c r="KX4" t="s">
        <v>486</v>
      </c>
      <c r="KY4" t="s">
        <v>480</v>
      </c>
      <c r="KZ4" t="s">
        <v>646</v>
      </c>
      <c r="LA4" t="s">
        <v>789</v>
      </c>
      <c r="LB4" t="s">
        <v>489</v>
      </c>
      <c r="LC4" t="s">
        <v>647</v>
      </c>
      <c r="LD4" t="s">
        <v>491</v>
      </c>
      <c r="LE4" t="s">
        <v>840</v>
      </c>
      <c r="LF4" t="s">
        <v>490</v>
      </c>
      <c r="LG4" t="s">
        <v>838</v>
      </c>
      <c r="LH4" t="s">
        <v>336</v>
      </c>
      <c r="LI4" t="s">
        <v>834</v>
      </c>
      <c r="LJ4" t="s">
        <v>334</v>
      </c>
      <c r="LK4" t="s">
        <v>831</v>
      </c>
      <c r="LL4" t="s">
        <v>338</v>
      </c>
      <c r="LM4" t="s">
        <v>828</v>
      </c>
      <c r="LN4" t="s">
        <v>337</v>
      </c>
      <c r="LO4" t="s">
        <v>835</v>
      </c>
      <c r="LP4" t="s">
        <v>500</v>
      </c>
      <c r="LQ4" t="s">
        <v>797</v>
      </c>
      <c r="LR4" t="s">
        <v>499</v>
      </c>
      <c r="LS4" t="s">
        <v>833</v>
      </c>
      <c r="LT4" t="s">
        <v>335</v>
      </c>
      <c r="LU4" t="s">
        <v>826</v>
      </c>
      <c r="LV4" t="s">
        <v>825</v>
      </c>
      <c r="LW4" t="s">
        <v>357</v>
      </c>
      <c r="LX4" t="s">
        <v>856</v>
      </c>
      <c r="LY4" t="s">
        <v>361</v>
      </c>
      <c r="LZ4" t="s">
        <v>362</v>
      </c>
      <c r="MA4" t="s">
        <v>365</v>
      </c>
      <c r="MB4" t="s">
        <v>519</v>
      </c>
      <c r="MC4" t="s">
        <v>391</v>
      </c>
      <c r="MD4" t="s">
        <v>522</v>
      </c>
      <c r="ME4" t="s">
        <v>521</v>
      </c>
      <c r="MF4" t="s">
        <v>520</v>
      </c>
      <c r="MG4" t="s">
        <v>733</v>
      </c>
      <c r="MH4" t="s">
        <v>859</v>
      </c>
      <c r="MI4" t="s">
        <v>861</v>
      </c>
      <c r="MJ4" t="s">
        <v>358</v>
      </c>
      <c r="MK4" t="s">
        <v>359</v>
      </c>
      <c r="ML4" t="s">
        <v>360</v>
      </c>
      <c r="MM4" t="s">
        <v>737</v>
      </c>
      <c r="MN4" t="s">
        <v>380</v>
      </c>
      <c r="MO4" t="s">
        <v>381</v>
      </c>
      <c r="MP4" t="s">
        <v>382</v>
      </c>
      <c r="MQ4" t="s">
        <v>383</v>
      </c>
      <c r="MR4" t="s">
        <v>854</v>
      </c>
      <c r="MS4" t="s">
        <v>384</v>
      </c>
      <c r="MT4" t="s">
        <v>385</v>
      </c>
      <c r="MU4" t="s">
        <v>386</v>
      </c>
      <c r="MV4" t="s">
        <v>387</v>
      </c>
      <c r="MW4" t="s">
        <v>388</v>
      </c>
      <c r="MX4" t="s">
        <v>389</v>
      </c>
      <c r="MY4" t="s">
        <v>390</v>
      </c>
      <c r="MZ4" t="s">
        <v>366</v>
      </c>
      <c r="NA4" t="s">
        <v>622</v>
      </c>
      <c r="NB4" t="s">
        <v>624</v>
      </c>
      <c r="NC4" t="s">
        <v>748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368</v>
      </c>
      <c r="NK4" t="s">
        <v>369</v>
      </c>
      <c r="NL4" t="s">
        <v>370</v>
      </c>
      <c r="NM4" t="s">
        <v>371</v>
      </c>
      <c r="NN4" t="s">
        <v>372</v>
      </c>
      <c r="NO4" t="s">
        <v>373</v>
      </c>
      <c r="NP4" t="s">
        <v>374</v>
      </c>
      <c r="NQ4" t="s">
        <v>375</v>
      </c>
      <c r="NR4" t="s">
        <v>376</v>
      </c>
      <c r="NS4" t="s">
        <v>377</v>
      </c>
      <c r="NT4" t="s">
        <v>378</v>
      </c>
      <c r="NU4" t="s">
        <v>398</v>
      </c>
      <c r="NV4" t="s">
        <v>367</v>
      </c>
      <c r="NW4" t="s">
        <v>363</v>
      </c>
      <c r="NX4" t="s">
        <v>364</v>
      </c>
      <c r="NY4" t="s">
        <v>379</v>
      </c>
      <c r="NZ4" t="s">
        <v>461</v>
      </c>
      <c r="OA4" t="s">
        <v>471</v>
      </c>
      <c r="OB4" t="s">
        <v>462</v>
      </c>
      <c r="OC4" t="s">
        <v>466</v>
      </c>
      <c r="OD4" t="s">
        <v>460</v>
      </c>
      <c r="OE4" t="s">
        <v>467</v>
      </c>
      <c r="OF4" t="s">
        <v>472</v>
      </c>
      <c r="OG4" t="s">
        <v>464</v>
      </c>
      <c r="OH4" t="s">
        <v>465</v>
      </c>
      <c r="OI4" t="s">
        <v>463</v>
      </c>
      <c r="OJ4" t="s">
        <v>473</v>
      </c>
      <c r="OK4" t="s">
        <v>470</v>
      </c>
      <c r="OL4" t="s">
        <v>469</v>
      </c>
      <c r="OM4" t="s">
        <v>468</v>
      </c>
      <c r="ON4" t="s">
        <v>459</v>
      </c>
    </row>
    <row r="6" spans="2:404" ht="15.75" thickBot="1"/>
    <row r="7" spans="2:404" ht="16.5" thickBot="1">
      <c r="B7" s="34" t="s">
        <v>474</v>
      </c>
      <c r="C7" s="34" t="s">
        <v>524</v>
      </c>
      <c r="D7" s="34" t="s">
        <v>221</v>
      </c>
      <c r="E7" s="34" t="s">
        <v>58</v>
      </c>
      <c r="F7" s="34" t="s">
        <v>59</v>
      </c>
      <c r="G7" s="34" t="s">
        <v>60</v>
      </c>
      <c r="H7" s="34" t="s">
        <v>222</v>
      </c>
    </row>
    <row r="8" spans="2:404" ht="15.75" thickBot="1">
      <c r="B8" s="35" t="s">
        <v>425</v>
      </c>
      <c r="C8" s="35"/>
      <c r="D8" s="35" t="s">
        <v>185</v>
      </c>
      <c r="E8" s="35"/>
      <c r="F8" s="35"/>
      <c r="G8" s="35"/>
      <c r="H8" s="35"/>
    </row>
    <row r="9" spans="2:404" ht="45.75" thickBot="1">
      <c r="B9" s="35" t="s">
        <v>316</v>
      </c>
      <c r="C9" s="36" t="s">
        <v>37</v>
      </c>
      <c r="D9" s="35" t="s">
        <v>587</v>
      </c>
      <c r="E9" s="35" t="s">
        <v>651</v>
      </c>
      <c r="F9" s="35"/>
      <c r="G9" s="35"/>
      <c r="H9" s="35"/>
    </row>
    <row r="10" spans="2:404" ht="90.75" thickBot="1">
      <c r="B10" s="35" t="s">
        <v>657</v>
      </c>
      <c r="C10" s="36" t="s">
        <v>864</v>
      </c>
      <c r="D10" s="35" t="s">
        <v>587</v>
      </c>
      <c r="E10" s="35" t="s">
        <v>865</v>
      </c>
      <c r="F10" s="35"/>
      <c r="G10" s="35"/>
      <c r="H10" s="35"/>
    </row>
    <row r="11" spans="2:404" ht="52.5" thickBot="1">
      <c r="B11" s="35" t="s">
        <v>318</v>
      </c>
      <c r="C11" s="35" t="s">
        <v>39</v>
      </c>
      <c r="D11" s="35" t="s">
        <v>1185</v>
      </c>
      <c r="E11" s="35" t="s">
        <v>658</v>
      </c>
      <c r="F11" s="35"/>
      <c r="G11" s="35"/>
      <c r="H11" s="35"/>
    </row>
    <row r="12" spans="2:404" ht="78" thickBot="1">
      <c r="B12" s="35" t="s">
        <v>754</v>
      </c>
      <c r="C12" s="36" t="s">
        <v>866</v>
      </c>
      <c r="D12" s="35" t="s">
        <v>128</v>
      </c>
      <c r="E12" s="35" t="s">
        <v>867</v>
      </c>
      <c r="F12" s="35"/>
      <c r="G12" s="35"/>
      <c r="H12" s="35"/>
    </row>
    <row r="13" spans="2:404" ht="52.5" thickBot="1">
      <c r="B13" s="35" t="s">
        <v>342</v>
      </c>
      <c r="C13" s="35" t="s">
        <v>22</v>
      </c>
      <c r="D13" s="35" t="s">
        <v>70</v>
      </c>
      <c r="E13" s="35" t="s">
        <v>648</v>
      </c>
      <c r="F13" s="35" t="s">
        <v>868</v>
      </c>
      <c r="G13" s="35" t="s">
        <v>869</v>
      </c>
      <c r="H13" s="35" t="s">
        <v>870</v>
      </c>
    </row>
    <row r="14" spans="2:404" ht="103.5" thickBot="1">
      <c r="B14" s="35" t="s">
        <v>635</v>
      </c>
      <c r="C14" s="35" t="s">
        <v>871</v>
      </c>
      <c r="D14" s="35" t="s">
        <v>70</v>
      </c>
      <c r="E14" s="35" t="s">
        <v>644</v>
      </c>
      <c r="F14" s="35" t="s">
        <v>1237</v>
      </c>
      <c r="G14" s="35" t="s">
        <v>873</v>
      </c>
      <c r="H14" s="35" t="s">
        <v>874</v>
      </c>
    </row>
    <row r="15" spans="2:404" ht="52.5" thickBot="1">
      <c r="B15" s="35" t="s">
        <v>346</v>
      </c>
      <c r="C15" s="36" t="s">
        <v>51</v>
      </c>
      <c r="D15" s="35" t="s">
        <v>72</v>
      </c>
      <c r="E15" s="35" t="s">
        <v>658</v>
      </c>
      <c r="F15" s="35" t="s">
        <v>868</v>
      </c>
      <c r="G15" s="35" t="s">
        <v>875</v>
      </c>
      <c r="H15" s="35"/>
    </row>
    <row r="16" spans="2:404" ht="90.75" thickBot="1">
      <c r="B16" s="35" t="s">
        <v>637</v>
      </c>
      <c r="C16" s="35" t="s">
        <v>876</v>
      </c>
      <c r="D16" s="35" t="s">
        <v>72</v>
      </c>
      <c r="E16" s="35" t="s">
        <v>877</v>
      </c>
      <c r="F16" s="35"/>
      <c r="G16" s="35"/>
      <c r="H16" s="35"/>
    </row>
    <row r="17" spans="2:8" ht="52.5" thickBot="1">
      <c r="B17" s="35" t="s">
        <v>347</v>
      </c>
      <c r="C17" s="36" t="s">
        <v>52</v>
      </c>
      <c r="D17" s="35" t="s">
        <v>73</v>
      </c>
      <c r="E17" s="35" t="s">
        <v>658</v>
      </c>
      <c r="F17" s="35" t="s">
        <v>868</v>
      </c>
      <c r="G17" s="35" t="s">
        <v>875</v>
      </c>
      <c r="H17" s="35" t="s">
        <v>878</v>
      </c>
    </row>
    <row r="18" spans="2:8" ht="103.5" thickBot="1">
      <c r="B18" s="35" t="s">
        <v>638</v>
      </c>
      <c r="C18" s="35" t="s">
        <v>879</v>
      </c>
      <c r="D18" s="35" t="s">
        <v>73</v>
      </c>
      <c r="E18" s="35" t="s">
        <v>880</v>
      </c>
      <c r="F18" s="35"/>
      <c r="G18" s="35"/>
      <c r="H18" s="35"/>
    </row>
    <row r="19" spans="2:8" ht="52.5" thickBot="1">
      <c r="B19" s="35" t="s">
        <v>326</v>
      </c>
      <c r="C19" s="36" t="s">
        <v>47</v>
      </c>
      <c r="D19" s="35" t="s">
        <v>133</v>
      </c>
      <c r="E19" s="35" t="s">
        <v>658</v>
      </c>
      <c r="F19" s="35"/>
      <c r="G19" s="35"/>
      <c r="H19" s="35"/>
    </row>
    <row r="20" spans="2:8" ht="78" thickBot="1">
      <c r="B20" s="35" t="s">
        <v>762</v>
      </c>
      <c r="C20" s="36" t="s">
        <v>1166</v>
      </c>
      <c r="D20" s="35" t="s">
        <v>133</v>
      </c>
      <c r="E20" s="35" t="s">
        <v>867</v>
      </c>
      <c r="F20" s="35"/>
      <c r="G20" s="35"/>
      <c r="H20" s="35"/>
    </row>
    <row r="21" spans="2:8" ht="52.5" thickBot="1">
      <c r="B21" s="35" t="s">
        <v>327</v>
      </c>
      <c r="C21" s="36" t="s">
        <v>48</v>
      </c>
      <c r="D21" s="35" t="s">
        <v>134</v>
      </c>
      <c r="E21" s="35" t="s">
        <v>648</v>
      </c>
      <c r="F21" s="35" t="s">
        <v>881</v>
      </c>
      <c r="G21" s="35" t="s">
        <v>882</v>
      </c>
      <c r="H21" s="35"/>
    </row>
    <row r="22" spans="2:8" ht="78" thickBot="1">
      <c r="B22" s="35" t="s">
        <v>763</v>
      </c>
      <c r="C22" s="36" t="s">
        <v>1167</v>
      </c>
      <c r="D22" s="35" t="s">
        <v>134</v>
      </c>
      <c r="E22" s="35" t="s">
        <v>883</v>
      </c>
      <c r="F22" s="35"/>
      <c r="G22" s="35"/>
      <c r="H22" s="35"/>
    </row>
    <row r="23" spans="2:8" ht="39.75" thickBot="1">
      <c r="B23" s="35" t="s">
        <v>293</v>
      </c>
      <c r="C23" s="35"/>
      <c r="D23" s="35" t="s">
        <v>576</v>
      </c>
      <c r="E23" s="35"/>
      <c r="F23" s="35"/>
      <c r="G23" s="35" t="s">
        <v>869</v>
      </c>
      <c r="H23" s="35" t="s">
        <v>870</v>
      </c>
    </row>
    <row r="24" spans="2:8" ht="52.5" thickBot="1">
      <c r="B24" s="35" t="s">
        <v>295</v>
      </c>
      <c r="C24" s="35"/>
      <c r="D24" s="35" t="s">
        <v>716</v>
      </c>
      <c r="E24" s="35" t="s">
        <v>648</v>
      </c>
      <c r="F24" s="35"/>
      <c r="G24" s="35" t="s">
        <v>869</v>
      </c>
      <c r="H24" s="35" t="s">
        <v>870</v>
      </c>
    </row>
    <row r="25" spans="2:8" ht="52.5" thickBot="1">
      <c r="B25" s="35" t="s">
        <v>296</v>
      </c>
      <c r="C25" s="36"/>
      <c r="D25" s="35" t="s">
        <v>578</v>
      </c>
      <c r="E25" s="35" t="s">
        <v>648</v>
      </c>
      <c r="F25" s="35"/>
      <c r="G25" s="35" t="s">
        <v>869</v>
      </c>
      <c r="H25" s="35" t="s">
        <v>870</v>
      </c>
    </row>
    <row r="26" spans="2:8" ht="52.5" thickBot="1">
      <c r="B26" s="35" t="s">
        <v>235</v>
      </c>
      <c r="C26" s="36" t="s">
        <v>0</v>
      </c>
      <c r="D26" s="35" t="s">
        <v>85</v>
      </c>
      <c r="E26" s="35" t="s">
        <v>701</v>
      </c>
      <c r="F26" s="35" t="s">
        <v>884</v>
      </c>
      <c r="G26" s="35" t="s">
        <v>885</v>
      </c>
      <c r="H26" s="35" t="s">
        <v>886</v>
      </c>
    </row>
    <row r="27" spans="2:8" ht="78" thickBot="1">
      <c r="B27" s="35" t="s">
        <v>759</v>
      </c>
      <c r="C27" s="36" t="s">
        <v>1168</v>
      </c>
      <c r="D27" s="35" t="s">
        <v>85</v>
      </c>
      <c r="E27" s="35" t="s">
        <v>887</v>
      </c>
      <c r="F27" s="35"/>
      <c r="G27" s="35"/>
      <c r="H27" s="35"/>
    </row>
    <row r="28" spans="2:8" ht="52.5" thickBot="1">
      <c r="B28" s="35" t="s">
        <v>236</v>
      </c>
      <c r="C28" s="36" t="s">
        <v>1</v>
      </c>
      <c r="D28" s="35" t="s">
        <v>86</v>
      </c>
      <c r="E28" s="35" t="s">
        <v>701</v>
      </c>
      <c r="F28" s="35" t="s">
        <v>888</v>
      </c>
      <c r="G28" s="35" t="s">
        <v>885</v>
      </c>
      <c r="H28" s="35" t="s">
        <v>886</v>
      </c>
    </row>
    <row r="29" spans="2:8" ht="52.5" thickBot="1">
      <c r="B29" s="35" t="s">
        <v>237</v>
      </c>
      <c r="C29" s="35" t="s">
        <v>2</v>
      </c>
      <c r="D29" s="35" t="s">
        <v>87</v>
      </c>
      <c r="E29" s="35" t="s">
        <v>701</v>
      </c>
      <c r="F29" s="35" t="s">
        <v>888</v>
      </c>
      <c r="G29" s="35" t="s">
        <v>885</v>
      </c>
      <c r="H29" s="35" t="s">
        <v>886</v>
      </c>
    </row>
    <row r="30" spans="2:8" ht="78" thickBot="1">
      <c r="B30" s="35" t="s">
        <v>761</v>
      </c>
      <c r="C30" s="36" t="s">
        <v>1169</v>
      </c>
      <c r="D30" s="35" t="s">
        <v>87</v>
      </c>
      <c r="E30" s="35" t="s">
        <v>887</v>
      </c>
      <c r="F30" s="35"/>
      <c r="G30" s="35"/>
      <c r="H30" s="35"/>
    </row>
    <row r="31" spans="2:8" ht="52.5" thickBot="1">
      <c r="B31" s="35" t="s">
        <v>238</v>
      </c>
      <c r="C31" s="36"/>
      <c r="D31" s="35" t="s">
        <v>556</v>
      </c>
      <c r="E31" s="35" t="s">
        <v>701</v>
      </c>
      <c r="F31" s="35" t="s">
        <v>888</v>
      </c>
      <c r="G31" s="35" t="s">
        <v>885</v>
      </c>
      <c r="H31" s="35" t="s">
        <v>886</v>
      </c>
    </row>
    <row r="32" spans="2:8" ht="78" thickBot="1">
      <c r="B32" s="35" t="s">
        <v>760</v>
      </c>
      <c r="C32" s="36" t="s">
        <v>1170</v>
      </c>
      <c r="D32" s="35" t="s">
        <v>556</v>
      </c>
      <c r="E32" s="35" t="s">
        <v>887</v>
      </c>
      <c r="F32" s="35"/>
      <c r="G32" s="35"/>
      <c r="H32" s="35"/>
    </row>
    <row r="33" spans="2:8" ht="52.5" thickBot="1">
      <c r="B33" s="35" t="s">
        <v>240</v>
      </c>
      <c r="C33" s="36" t="s">
        <v>6</v>
      </c>
      <c r="D33" s="35" t="s">
        <v>89</v>
      </c>
      <c r="E33" s="35" t="s">
        <v>658</v>
      </c>
      <c r="F33" s="35"/>
      <c r="G33" s="35" t="s">
        <v>889</v>
      </c>
      <c r="H33" s="35"/>
    </row>
    <row r="34" spans="2:8" ht="78" thickBot="1">
      <c r="B34" s="35" t="s">
        <v>850</v>
      </c>
      <c r="C34" s="36" t="s">
        <v>1159</v>
      </c>
      <c r="D34" s="35" t="s">
        <v>89</v>
      </c>
      <c r="E34" s="35" t="s">
        <v>890</v>
      </c>
      <c r="F34" s="35"/>
      <c r="G34" s="35"/>
      <c r="H34" s="35"/>
    </row>
    <row r="35" spans="2:8" ht="52.5" thickBot="1">
      <c r="B35" s="35" t="s">
        <v>243</v>
      </c>
      <c r="C35" s="36" t="s">
        <v>12</v>
      </c>
      <c r="D35" s="35" t="s">
        <v>92</v>
      </c>
      <c r="E35" s="35" t="s">
        <v>658</v>
      </c>
      <c r="F35" s="35"/>
      <c r="G35" s="35"/>
      <c r="H35" s="35"/>
    </row>
    <row r="36" spans="2:8" ht="78" thickBot="1">
      <c r="B36" s="35" t="s">
        <v>852</v>
      </c>
      <c r="C36" s="35" t="s">
        <v>1171</v>
      </c>
      <c r="D36" s="35" t="s">
        <v>92</v>
      </c>
      <c r="E36" s="35" t="s">
        <v>867</v>
      </c>
      <c r="F36" s="35"/>
      <c r="G36" s="35"/>
      <c r="H36" s="35"/>
    </row>
    <row r="37" spans="2:8" ht="78" thickBot="1">
      <c r="B37" s="35" t="s">
        <v>288</v>
      </c>
      <c r="C37" s="35" t="s">
        <v>20</v>
      </c>
      <c r="D37" s="35" t="s">
        <v>113</v>
      </c>
      <c r="E37" s="35" t="s">
        <v>648</v>
      </c>
      <c r="F37" s="35" t="s">
        <v>891</v>
      </c>
      <c r="G37" s="35" t="s">
        <v>892</v>
      </c>
      <c r="H37" s="35"/>
    </row>
    <row r="38" spans="2:8" ht="78" thickBot="1">
      <c r="B38" s="35" t="s">
        <v>811</v>
      </c>
      <c r="C38" s="36" t="s">
        <v>893</v>
      </c>
      <c r="D38" s="35" t="s">
        <v>113</v>
      </c>
      <c r="E38" s="35" t="s">
        <v>894</v>
      </c>
      <c r="F38" s="35" t="s">
        <v>895</v>
      </c>
      <c r="G38" s="35" t="s">
        <v>892</v>
      </c>
      <c r="H38" s="35"/>
    </row>
    <row r="39" spans="2:8" ht="52.5" thickBot="1">
      <c r="B39" s="35" t="s">
        <v>289</v>
      </c>
      <c r="C39" s="35"/>
      <c r="D39" s="35" t="s">
        <v>574</v>
      </c>
      <c r="E39" s="35" t="s">
        <v>648</v>
      </c>
      <c r="F39" s="35" t="s">
        <v>891</v>
      </c>
      <c r="G39" s="35"/>
      <c r="H39" s="35"/>
    </row>
    <row r="40" spans="2:8" ht="78" thickBot="1">
      <c r="B40" s="35" t="s">
        <v>812</v>
      </c>
      <c r="C40" s="35"/>
      <c r="D40" s="35" t="s">
        <v>574</v>
      </c>
      <c r="E40" s="35" t="s">
        <v>894</v>
      </c>
      <c r="F40" s="35" t="s">
        <v>895</v>
      </c>
      <c r="G40" s="35" t="s">
        <v>823</v>
      </c>
      <c r="H40" s="35"/>
    </row>
    <row r="41" spans="2:8" ht="52.5" thickBot="1">
      <c r="B41" s="35" t="s">
        <v>287</v>
      </c>
      <c r="C41" s="36" t="s">
        <v>19</v>
      </c>
      <c r="D41" s="35" t="s">
        <v>111</v>
      </c>
      <c r="E41" s="35" t="s">
        <v>648</v>
      </c>
      <c r="F41" s="35" t="s">
        <v>891</v>
      </c>
      <c r="G41" s="35"/>
      <c r="H41" s="35"/>
    </row>
    <row r="42" spans="2:8" ht="78" thickBot="1">
      <c r="B42" s="35" t="s">
        <v>813</v>
      </c>
      <c r="C42" s="36" t="s">
        <v>896</v>
      </c>
      <c r="D42" s="35" t="s">
        <v>111</v>
      </c>
      <c r="E42" s="35" t="s">
        <v>894</v>
      </c>
      <c r="F42" s="35" t="s">
        <v>895</v>
      </c>
      <c r="G42" s="35"/>
      <c r="H42" s="35"/>
    </row>
    <row r="43" spans="2:8" ht="65.25" thickBot="1">
      <c r="B43" s="35" t="s">
        <v>283</v>
      </c>
      <c r="C43" s="35"/>
      <c r="D43" s="35" t="s">
        <v>112</v>
      </c>
      <c r="E43" s="35" t="s">
        <v>649</v>
      </c>
      <c r="F43" s="35" t="s">
        <v>897</v>
      </c>
      <c r="G43" s="35" t="s">
        <v>898</v>
      </c>
      <c r="H43" s="35"/>
    </row>
    <row r="44" spans="2:8" ht="103.5" thickBot="1">
      <c r="B44" s="35" t="s">
        <v>815</v>
      </c>
      <c r="C44" s="35" t="s">
        <v>899</v>
      </c>
      <c r="D44" s="35" t="s">
        <v>112</v>
      </c>
      <c r="E44" s="35" t="s">
        <v>900</v>
      </c>
      <c r="F44" s="35" t="s">
        <v>895</v>
      </c>
      <c r="G44" s="35"/>
      <c r="H44" s="35"/>
    </row>
    <row r="45" spans="2:8" ht="52.5" thickBot="1">
      <c r="B45" s="35" t="s">
        <v>714</v>
      </c>
      <c r="C45" s="36"/>
      <c r="D45" s="35" t="s">
        <v>715</v>
      </c>
      <c r="E45" s="35" t="s">
        <v>648</v>
      </c>
      <c r="F45" s="35" t="s">
        <v>891</v>
      </c>
      <c r="G45" s="35"/>
      <c r="H45" s="35"/>
    </row>
    <row r="46" spans="2:8" ht="52.5" thickBot="1">
      <c r="B46" s="35" t="s">
        <v>282</v>
      </c>
      <c r="C46" s="35" t="s">
        <v>16</v>
      </c>
      <c r="D46" s="35" t="s">
        <v>108</v>
      </c>
      <c r="E46" s="35" t="s">
        <v>648</v>
      </c>
      <c r="F46" s="35" t="s">
        <v>891</v>
      </c>
      <c r="G46" s="35"/>
      <c r="H46" s="35"/>
    </row>
    <row r="47" spans="2:8" ht="78" thickBot="1">
      <c r="B47" s="35" t="s">
        <v>814</v>
      </c>
      <c r="C47" s="36" t="s">
        <v>901</v>
      </c>
      <c r="D47" s="35" t="s">
        <v>108</v>
      </c>
      <c r="E47" s="35" t="s">
        <v>894</v>
      </c>
      <c r="F47" s="35" t="s">
        <v>895</v>
      </c>
      <c r="G47" s="35"/>
      <c r="H47" s="35"/>
    </row>
    <row r="48" spans="2:8" ht="52.5" thickBot="1">
      <c r="B48" s="35" t="s">
        <v>284</v>
      </c>
      <c r="C48" s="36" t="s">
        <v>17</v>
      </c>
      <c r="D48" s="35" t="s">
        <v>109</v>
      </c>
      <c r="E48" s="35" t="s">
        <v>650</v>
      </c>
      <c r="F48" s="35" t="s">
        <v>897</v>
      </c>
      <c r="G48" s="35"/>
      <c r="H48" s="35"/>
    </row>
    <row r="49" spans="2:8" ht="78" thickBot="1">
      <c r="B49" s="35" t="s">
        <v>808</v>
      </c>
      <c r="C49" s="36" t="s">
        <v>902</v>
      </c>
      <c r="D49" s="35" t="s">
        <v>109</v>
      </c>
      <c r="E49" s="35" t="s">
        <v>894</v>
      </c>
      <c r="F49" s="35" t="s">
        <v>895</v>
      </c>
      <c r="G49" s="35"/>
      <c r="H49" s="35"/>
    </row>
    <row r="50" spans="2:8" ht="78" thickBot="1">
      <c r="B50" s="35" t="s">
        <v>285</v>
      </c>
      <c r="C50" s="35" t="s">
        <v>18</v>
      </c>
      <c r="D50" s="35" t="s">
        <v>110</v>
      </c>
      <c r="E50" s="35" t="s">
        <v>648</v>
      </c>
      <c r="F50" s="35" t="s">
        <v>891</v>
      </c>
      <c r="G50" s="35" t="s">
        <v>892</v>
      </c>
      <c r="H50" s="35"/>
    </row>
    <row r="51" spans="2:8" ht="78" thickBot="1">
      <c r="B51" s="35" t="s">
        <v>809</v>
      </c>
      <c r="C51" s="36" t="s">
        <v>903</v>
      </c>
      <c r="D51" s="35" t="s">
        <v>110</v>
      </c>
      <c r="E51" s="35" t="s">
        <v>894</v>
      </c>
      <c r="F51" s="35" t="s">
        <v>1203</v>
      </c>
      <c r="G51" s="35" t="s">
        <v>1204</v>
      </c>
      <c r="H51" s="35"/>
    </row>
    <row r="52" spans="2:8" ht="52.5" thickBot="1">
      <c r="B52" s="35" t="s">
        <v>286</v>
      </c>
      <c r="C52" s="35"/>
      <c r="D52" s="35" t="s">
        <v>573</v>
      </c>
      <c r="E52" s="35" t="s">
        <v>648</v>
      </c>
      <c r="F52" s="35" t="s">
        <v>891</v>
      </c>
      <c r="G52" s="35"/>
      <c r="H52" s="35"/>
    </row>
    <row r="53" spans="2:8" ht="78" thickBot="1">
      <c r="B53" s="35" t="s">
        <v>810</v>
      </c>
      <c r="C53" s="35"/>
      <c r="D53" s="35" t="s">
        <v>573</v>
      </c>
      <c r="E53" s="35" t="s">
        <v>894</v>
      </c>
      <c r="F53" s="35" t="s">
        <v>895</v>
      </c>
      <c r="G53" s="35"/>
      <c r="H53" s="35"/>
    </row>
    <row r="54" spans="2:8" ht="52.5" thickBot="1">
      <c r="B54" s="35" t="s">
        <v>290</v>
      </c>
      <c r="C54" s="35" t="s">
        <v>21</v>
      </c>
      <c r="D54" s="35" t="s">
        <v>118</v>
      </c>
      <c r="E54" s="35" t="s">
        <v>648</v>
      </c>
      <c r="F54" s="35"/>
      <c r="G54" s="35" t="s">
        <v>869</v>
      </c>
      <c r="H54" s="35" t="s">
        <v>870</v>
      </c>
    </row>
    <row r="55" spans="2:8" ht="103.5" thickBot="1">
      <c r="B55" s="35" t="s">
        <v>798</v>
      </c>
      <c r="C55" s="36" t="s">
        <v>1172</v>
      </c>
      <c r="D55" s="35" t="s">
        <v>118</v>
      </c>
      <c r="E55" s="35" t="s">
        <v>644</v>
      </c>
      <c r="F55" s="35"/>
      <c r="G55" s="35"/>
      <c r="H55" s="35" t="s">
        <v>904</v>
      </c>
    </row>
    <row r="56" spans="2:8" ht="52.5" thickBot="1">
      <c r="B56" s="35" t="s">
        <v>291</v>
      </c>
      <c r="C56" s="35" t="s">
        <v>1186</v>
      </c>
      <c r="D56" s="35" t="s">
        <v>119</v>
      </c>
      <c r="E56" s="35" t="s">
        <v>648</v>
      </c>
      <c r="F56" s="35" t="s">
        <v>905</v>
      </c>
      <c r="G56" s="35" t="s">
        <v>869</v>
      </c>
      <c r="H56" s="35" t="s">
        <v>870</v>
      </c>
    </row>
    <row r="57" spans="2:8" ht="103.5" thickBot="1">
      <c r="B57" s="35" t="s">
        <v>799</v>
      </c>
      <c r="C57" s="35" t="s">
        <v>1173</v>
      </c>
      <c r="D57" s="35" t="s">
        <v>119</v>
      </c>
      <c r="E57" s="35" t="s">
        <v>644</v>
      </c>
      <c r="F57" s="35" t="s">
        <v>905</v>
      </c>
      <c r="G57" s="35"/>
      <c r="H57" s="35" t="s">
        <v>906</v>
      </c>
    </row>
    <row r="58" spans="2:8" ht="52.5" thickBot="1">
      <c r="B58" s="35" t="s">
        <v>292</v>
      </c>
      <c r="C58" s="35" t="s">
        <v>1187</v>
      </c>
      <c r="D58" s="35" t="s">
        <v>575</v>
      </c>
      <c r="E58" s="35" t="s">
        <v>648</v>
      </c>
      <c r="F58" s="35" t="s">
        <v>905</v>
      </c>
      <c r="G58" s="35"/>
      <c r="H58" s="35"/>
    </row>
    <row r="59" spans="2:8" ht="78" thickBot="1">
      <c r="B59" s="35" t="s">
        <v>816</v>
      </c>
      <c r="C59" s="35" t="s">
        <v>1174</v>
      </c>
      <c r="D59" s="35" t="s">
        <v>575</v>
      </c>
      <c r="E59" s="35" t="s">
        <v>907</v>
      </c>
      <c r="F59" s="35"/>
      <c r="G59" s="35"/>
      <c r="H59" s="35"/>
    </row>
    <row r="60" spans="2:8" ht="52.5" thickBot="1">
      <c r="B60" s="35" t="s">
        <v>241</v>
      </c>
      <c r="C60" s="35" t="s">
        <v>10</v>
      </c>
      <c r="D60" s="35" t="s">
        <v>90</v>
      </c>
      <c r="E60" s="35" t="s">
        <v>658</v>
      </c>
      <c r="F60" s="35"/>
      <c r="G60" s="35"/>
      <c r="H60" s="35"/>
    </row>
    <row r="61" spans="2:8" ht="78" thickBot="1">
      <c r="B61" s="35" t="s">
        <v>851</v>
      </c>
      <c r="C61" s="35" t="s">
        <v>1175</v>
      </c>
      <c r="D61" s="35" t="s">
        <v>90</v>
      </c>
      <c r="E61" s="35" t="s">
        <v>867</v>
      </c>
      <c r="F61" s="35"/>
      <c r="G61" s="35"/>
      <c r="H61" s="35"/>
    </row>
    <row r="62" spans="2:8" ht="52.5" thickBot="1">
      <c r="B62" s="35" t="s">
        <v>242</v>
      </c>
      <c r="C62" s="35" t="s">
        <v>11</v>
      </c>
      <c r="D62" s="35" t="s">
        <v>91</v>
      </c>
      <c r="E62" s="35" t="s">
        <v>658</v>
      </c>
      <c r="F62" s="35"/>
      <c r="G62" s="35"/>
      <c r="H62" s="35"/>
    </row>
    <row r="63" spans="2:8" ht="103.5" thickBot="1">
      <c r="B63" s="35" t="s">
        <v>784</v>
      </c>
      <c r="C63" s="35" t="s">
        <v>1176</v>
      </c>
      <c r="D63" s="35" t="s">
        <v>91</v>
      </c>
      <c r="E63" s="35" t="s">
        <v>644</v>
      </c>
      <c r="F63" s="35"/>
      <c r="G63" s="35"/>
      <c r="H63" s="35"/>
    </row>
    <row r="64" spans="2:8" ht="65.25" thickBot="1">
      <c r="B64" s="35" t="s">
        <v>245</v>
      </c>
      <c r="C64" s="35"/>
      <c r="D64" s="35" t="s">
        <v>558</v>
      </c>
      <c r="E64" s="35" t="s">
        <v>705</v>
      </c>
      <c r="F64" s="35" t="s">
        <v>908</v>
      </c>
      <c r="G64" s="35" t="s">
        <v>819</v>
      </c>
      <c r="H64" s="35" t="s">
        <v>909</v>
      </c>
    </row>
    <row r="65" spans="2:8" ht="90.75" thickBot="1">
      <c r="B65" s="35" t="s">
        <v>853</v>
      </c>
      <c r="C65" s="35" t="s">
        <v>1177</v>
      </c>
      <c r="D65" s="35" t="s">
        <v>558</v>
      </c>
      <c r="E65" s="35" t="s">
        <v>910</v>
      </c>
      <c r="F65" s="35"/>
      <c r="G65" s="35"/>
      <c r="H65" s="35"/>
    </row>
    <row r="66" spans="2:8" ht="52.5" thickBot="1">
      <c r="B66" s="35" t="s">
        <v>248</v>
      </c>
      <c r="C66" s="35"/>
      <c r="D66" s="35" t="s">
        <v>559</v>
      </c>
      <c r="E66" s="35" t="s">
        <v>649</v>
      </c>
      <c r="F66" s="35" t="s">
        <v>911</v>
      </c>
      <c r="G66" s="35" t="s">
        <v>912</v>
      </c>
      <c r="H66" s="35" t="s">
        <v>913</v>
      </c>
    </row>
    <row r="67" spans="2:8" ht="78" thickBot="1">
      <c r="B67" s="35" t="s">
        <v>817</v>
      </c>
      <c r="C67" s="35" t="s">
        <v>914</v>
      </c>
      <c r="D67" s="35" t="s">
        <v>559</v>
      </c>
      <c r="E67" s="35" t="s">
        <v>915</v>
      </c>
      <c r="F67" s="35" t="s">
        <v>911</v>
      </c>
      <c r="G67" s="35" t="s">
        <v>912</v>
      </c>
      <c r="H67" s="35" t="s">
        <v>916</v>
      </c>
    </row>
    <row r="68" spans="2:8" ht="52.5" thickBot="1">
      <c r="B68" s="35" t="s">
        <v>260</v>
      </c>
      <c r="C68" s="35"/>
      <c r="D68" s="35" t="s">
        <v>105</v>
      </c>
      <c r="E68" s="35" t="s">
        <v>649</v>
      </c>
      <c r="F68" s="35"/>
      <c r="G68" s="35"/>
      <c r="H68" s="35"/>
    </row>
    <row r="69" spans="2:8" ht="52.5" thickBot="1">
      <c r="B69" s="35" t="s">
        <v>239</v>
      </c>
      <c r="C69" s="35"/>
      <c r="D69" s="35" t="s">
        <v>88</v>
      </c>
      <c r="E69" s="35" t="s">
        <v>702</v>
      </c>
      <c r="F69" s="35"/>
      <c r="G69" s="35"/>
      <c r="H69" s="35"/>
    </row>
    <row r="70" spans="2:8" ht="52.5" thickBot="1">
      <c r="B70" s="35" t="s">
        <v>514</v>
      </c>
      <c r="C70" s="35"/>
      <c r="D70" s="35" t="s">
        <v>515</v>
      </c>
      <c r="E70" s="35" t="s">
        <v>658</v>
      </c>
      <c r="F70" s="35" t="s">
        <v>917</v>
      </c>
      <c r="G70" s="35" t="s">
        <v>918</v>
      </c>
      <c r="H70" s="35"/>
    </row>
    <row r="71" spans="2:8" ht="27" thickBot="1">
      <c r="B71" s="35" t="s">
        <v>703</v>
      </c>
      <c r="C71" s="36"/>
      <c r="D71" s="35" t="s">
        <v>704</v>
      </c>
      <c r="E71" s="35" t="s">
        <v>652</v>
      </c>
      <c r="F71" s="35"/>
      <c r="G71" s="35"/>
      <c r="H71" s="35"/>
    </row>
    <row r="72" spans="2:8" ht="52.5" thickBot="1">
      <c r="B72" s="35" t="s">
        <v>244</v>
      </c>
      <c r="C72" s="36"/>
      <c r="D72" s="35" t="s">
        <v>557</v>
      </c>
      <c r="E72" s="35" t="s">
        <v>649</v>
      </c>
      <c r="F72" s="35" t="s">
        <v>919</v>
      </c>
      <c r="G72" s="35"/>
      <c r="H72" s="35"/>
    </row>
    <row r="73" spans="2:8" ht="52.5" thickBot="1">
      <c r="B73" s="35" t="s">
        <v>246</v>
      </c>
      <c r="C73" s="35"/>
      <c r="D73" s="35" t="s">
        <v>100</v>
      </c>
      <c r="E73" s="35" t="s">
        <v>649</v>
      </c>
      <c r="F73" s="35"/>
      <c r="G73" s="35"/>
      <c r="H73" s="35"/>
    </row>
    <row r="74" spans="2:8" ht="52.5" thickBot="1">
      <c r="B74" s="35" t="s">
        <v>247</v>
      </c>
      <c r="C74" s="35"/>
      <c r="D74" s="35" t="s">
        <v>101</v>
      </c>
      <c r="E74" s="35" t="s">
        <v>649</v>
      </c>
      <c r="F74" s="35" t="s">
        <v>920</v>
      </c>
      <c r="G74" s="35"/>
      <c r="H74" s="35"/>
    </row>
    <row r="75" spans="2:8" ht="52.5" thickBot="1">
      <c r="B75" s="35" t="s">
        <v>249</v>
      </c>
      <c r="C75" s="35"/>
      <c r="D75" s="35" t="s">
        <v>560</v>
      </c>
      <c r="E75" s="35" t="s">
        <v>649</v>
      </c>
      <c r="F75" s="35"/>
      <c r="G75" s="35" t="s">
        <v>869</v>
      </c>
      <c r="H75" s="35" t="s">
        <v>870</v>
      </c>
    </row>
    <row r="76" spans="2:8" ht="52.5" thickBot="1">
      <c r="B76" s="35" t="s">
        <v>250</v>
      </c>
      <c r="C76" s="35"/>
      <c r="D76" s="35" t="s">
        <v>561</v>
      </c>
      <c r="E76" s="35" t="s">
        <v>649</v>
      </c>
      <c r="F76" s="35"/>
      <c r="G76" s="35" t="s">
        <v>869</v>
      </c>
      <c r="H76" s="35" t="s">
        <v>870</v>
      </c>
    </row>
    <row r="77" spans="2:8" ht="52.5" thickBot="1">
      <c r="B77" s="35" t="s">
        <v>251</v>
      </c>
      <c r="C77" s="35"/>
      <c r="D77" s="35" t="s">
        <v>103</v>
      </c>
      <c r="E77" s="35" t="s">
        <v>649</v>
      </c>
      <c r="F77" s="35" t="s">
        <v>921</v>
      </c>
      <c r="G77" s="35" t="s">
        <v>869</v>
      </c>
      <c r="H77" s="35" t="s">
        <v>870</v>
      </c>
    </row>
    <row r="78" spans="2:8" ht="52.5" thickBot="1">
      <c r="B78" s="35" t="s">
        <v>252</v>
      </c>
      <c r="C78" s="35"/>
      <c r="D78" s="35" t="s">
        <v>104</v>
      </c>
      <c r="E78" s="35" t="s">
        <v>649</v>
      </c>
      <c r="F78" s="35" t="s">
        <v>921</v>
      </c>
      <c r="G78" s="35" t="s">
        <v>869</v>
      </c>
      <c r="H78" s="35" t="s">
        <v>870</v>
      </c>
    </row>
    <row r="79" spans="2:8" ht="52.5" thickBot="1">
      <c r="B79" s="35" t="s">
        <v>253</v>
      </c>
      <c r="C79" s="35"/>
      <c r="D79" s="35" t="s">
        <v>562</v>
      </c>
      <c r="E79" s="35" t="s">
        <v>649</v>
      </c>
      <c r="F79" s="35" t="s">
        <v>922</v>
      </c>
      <c r="G79" s="35" t="s">
        <v>869</v>
      </c>
      <c r="H79" s="35" t="s">
        <v>870</v>
      </c>
    </row>
    <row r="80" spans="2:8" ht="52.5" thickBot="1">
      <c r="B80" s="35" t="s">
        <v>254</v>
      </c>
      <c r="C80" s="36"/>
      <c r="D80" s="35" t="s">
        <v>563</v>
      </c>
      <c r="E80" s="35" t="s">
        <v>649</v>
      </c>
      <c r="F80" s="35" t="s">
        <v>652</v>
      </c>
      <c r="G80" s="35"/>
      <c r="H80" s="35"/>
    </row>
    <row r="81" spans="2:8" ht="52.5" thickBot="1">
      <c r="B81" s="35" t="s">
        <v>255</v>
      </c>
      <c r="C81" s="35"/>
      <c r="D81" s="35" t="s">
        <v>564</v>
      </c>
      <c r="E81" s="35" t="s">
        <v>649</v>
      </c>
      <c r="F81" s="35" t="s">
        <v>651</v>
      </c>
      <c r="G81" s="35" t="s">
        <v>869</v>
      </c>
      <c r="H81" s="35" t="s">
        <v>870</v>
      </c>
    </row>
    <row r="82" spans="2:8" ht="52.5" thickBot="1">
      <c r="B82" s="35" t="s">
        <v>256</v>
      </c>
      <c r="C82" s="35"/>
      <c r="D82" s="35" t="s">
        <v>565</v>
      </c>
      <c r="E82" s="35" t="s">
        <v>649</v>
      </c>
      <c r="F82" s="35" t="s">
        <v>651</v>
      </c>
      <c r="G82" s="35"/>
      <c r="H82" s="35"/>
    </row>
    <row r="83" spans="2:8" ht="52.5" thickBot="1">
      <c r="B83" s="35" t="s">
        <v>257</v>
      </c>
      <c r="C83" s="35"/>
      <c r="D83" s="35" t="s">
        <v>566</v>
      </c>
      <c r="E83" s="35" t="s">
        <v>649</v>
      </c>
      <c r="F83" s="35" t="s">
        <v>651</v>
      </c>
      <c r="G83" s="35" t="s">
        <v>869</v>
      </c>
      <c r="H83" s="35" t="s">
        <v>870</v>
      </c>
    </row>
    <row r="84" spans="2:8" ht="52.5" thickBot="1">
      <c r="B84" s="35" t="s">
        <v>258</v>
      </c>
      <c r="C84" s="35"/>
      <c r="D84" s="35" t="s">
        <v>567</v>
      </c>
      <c r="E84" s="35" t="s">
        <v>649</v>
      </c>
      <c r="F84" s="35"/>
      <c r="G84" s="35" t="s">
        <v>869</v>
      </c>
      <c r="H84" s="35" t="s">
        <v>870</v>
      </c>
    </row>
    <row r="85" spans="2:8" ht="52.5" thickBot="1">
      <c r="B85" s="35" t="s">
        <v>259</v>
      </c>
      <c r="C85" s="35"/>
      <c r="D85" s="35" t="s">
        <v>93</v>
      </c>
      <c r="E85" s="35" t="s">
        <v>649</v>
      </c>
      <c r="F85" s="35" t="s">
        <v>652</v>
      </c>
      <c r="G85" s="35"/>
      <c r="H85" s="35"/>
    </row>
    <row r="86" spans="2:8" ht="52.5" thickBot="1">
      <c r="B86" s="35" t="s">
        <v>261</v>
      </c>
      <c r="C86" s="35"/>
      <c r="D86" s="35" t="s">
        <v>706</v>
      </c>
      <c r="E86" s="35" t="s">
        <v>649</v>
      </c>
      <c r="F86" s="35"/>
      <c r="G86" s="35"/>
      <c r="H86" s="35"/>
    </row>
    <row r="87" spans="2:8" ht="52.5" thickBot="1">
      <c r="B87" s="35" t="s">
        <v>262</v>
      </c>
      <c r="C87" s="35"/>
      <c r="D87" s="35" t="s">
        <v>707</v>
      </c>
      <c r="E87" s="35" t="s">
        <v>649</v>
      </c>
      <c r="F87" s="35"/>
      <c r="G87" s="35"/>
      <c r="H87" s="35"/>
    </row>
    <row r="88" spans="2:8" ht="52.5" thickBot="1">
      <c r="B88" s="35" t="s">
        <v>263</v>
      </c>
      <c r="C88" s="35"/>
      <c r="D88" s="35" t="s">
        <v>708</v>
      </c>
      <c r="E88" s="35" t="s">
        <v>649</v>
      </c>
      <c r="F88" s="35" t="s">
        <v>920</v>
      </c>
      <c r="G88" s="35"/>
      <c r="H88" s="35"/>
    </row>
    <row r="89" spans="2:8" ht="52.5" thickBot="1">
      <c r="B89" s="35" t="s">
        <v>264</v>
      </c>
      <c r="C89" s="35"/>
      <c r="D89" s="35" t="s">
        <v>102</v>
      </c>
      <c r="E89" s="35" t="s">
        <v>649</v>
      </c>
      <c r="F89" s="35" t="s">
        <v>921</v>
      </c>
      <c r="G89" s="35" t="s">
        <v>923</v>
      </c>
      <c r="H89" s="35"/>
    </row>
    <row r="90" spans="2:8" ht="52.5" thickBot="1">
      <c r="B90" s="35" t="s">
        <v>265</v>
      </c>
      <c r="C90" s="35"/>
      <c r="D90" s="35" t="s">
        <v>106</v>
      </c>
      <c r="E90" s="35" t="s">
        <v>649</v>
      </c>
      <c r="F90" s="35" t="s">
        <v>924</v>
      </c>
      <c r="G90" s="35" t="s">
        <v>925</v>
      </c>
      <c r="H90" s="35" t="s">
        <v>926</v>
      </c>
    </row>
    <row r="91" spans="2:8" ht="52.5" thickBot="1">
      <c r="B91" s="35" t="s">
        <v>266</v>
      </c>
      <c r="C91" s="35"/>
      <c r="D91" s="35" t="s">
        <v>107</v>
      </c>
      <c r="E91" s="35" t="s">
        <v>649</v>
      </c>
      <c r="F91" s="35" t="s">
        <v>924</v>
      </c>
      <c r="G91" s="35" t="s">
        <v>927</v>
      </c>
      <c r="H91" s="35"/>
    </row>
    <row r="92" spans="2:8" ht="52.5" thickBot="1">
      <c r="B92" s="35" t="s">
        <v>267</v>
      </c>
      <c r="C92" s="35"/>
      <c r="D92" s="35" t="s">
        <v>568</v>
      </c>
      <c r="E92" s="35" t="s">
        <v>649</v>
      </c>
      <c r="F92" s="35" t="s">
        <v>924</v>
      </c>
      <c r="G92" s="35" t="s">
        <v>927</v>
      </c>
      <c r="H92" s="35" t="s">
        <v>674</v>
      </c>
    </row>
    <row r="93" spans="2:8" ht="52.5" thickBot="1">
      <c r="B93" s="35" t="s">
        <v>268</v>
      </c>
      <c r="C93" s="35"/>
      <c r="D93" s="35" t="s">
        <v>94</v>
      </c>
      <c r="E93" s="35" t="s">
        <v>649</v>
      </c>
      <c r="F93" s="35" t="s">
        <v>928</v>
      </c>
      <c r="G93" s="35" t="s">
        <v>869</v>
      </c>
      <c r="H93" s="35" t="s">
        <v>929</v>
      </c>
    </row>
    <row r="94" spans="2:8" ht="52.5" thickBot="1">
      <c r="B94" s="35" t="s">
        <v>269</v>
      </c>
      <c r="C94" s="35"/>
      <c r="D94" s="35" t="s">
        <v>569</v>
      </c>
      <c r="E94" s="35" t="s">
        <v>649</v>
      </c>
      <c r="F94" s="35" t="s">
        <v>930</v>
      </c>
      <c r="G94" s="35" t="s">
        <v>869</v>
      </c>
      <c r="H94" s="35" t="s">
        <v>870</v>
      </c>
    </row>
    <row r="95" spans="2:8" ht="52.5" thickBot="1">
      <c r="B95" s="35" t="s">
        <v>270</v>
      </c>
      <c r="C95" s="35"/>
      <c r="D95" s="35" t="s">
        <v>95</v>
      </c>
      <c r="E95" s="35" t="s">
        <v>709</v>
      </c>
      <c r="F95" s="35" t="s">
        <v>931</v>
      </c>
      <c r="G95" s="35" t="s">
        <v>932</v>
      </c>
      <c r="H95" s="35" t="s">
        <v>933</v>
      </c>
    </row>
    <row r="96" spans="2:8" ht="52.5" thickBot="1">
      <c r="B96" s="35" t="s">
        <v>271</v>
      </c>
      <c r="C96" s="35"/>
      <c r="D96" s="35" t="s">
        <v>96</v>
      </c>
      <c r="E96" s="35" t="s">
        <v>709</v>
      </c>
      <c r="F96" s="35" t="s">
        <v>931</v>
      </c>
      <c r="G96" s="35" t="s">
        <v>932</v>
      </c>
      <c r="H96" s="35" t="s">
        <v>933</v>
      </c>
    </row>
    <row r="97" spans="2:8" ht="90.75" thickBot="1">
      <c r="B97" s="35" t="s">
        <v>1231</v>
      </c>
      <c r="C97" s="35"/>
      <c r="D97" s="35" t="s">
        <v>1232</v>
      </c>
      <c r="E97" s="35"/>
      <c r="F97" s="35"/>
      <c r="G97" s="35"/>
      <c r="H97" s="35" t="s">
        <v>938</v>
      </c>
    </row>
    <row r="98" spans="2:8" ht="103.5" thickBot="1">
      <c r="B98" s="35" t="s">
        <v>1236</v>
      </c>
      <c r="C98" s="35"/>
      <c r="D98" s="37" t="s">
        <v>1233</v>
      </c>
      <c r="E98" s="35" t="s">
        <v>644</v>
      </c>
      <c r="F98" s="35" t="s">
        <v>1235</v>
      </c>
      <c r="G98" s="35"/>
      <c r="H98" s="35" t="s">
        <v>1234</v>
      </c>
    </row>
    <row r="99" spans="2:8" ht="52.5" thickBot="1">
      <c r="B99" s="35" t="s">
        <v>321</v>
      </c>
      <c r="C99" s="35"/>
      <c r="D99" s="35" t="s">
        <v>791</v>
      </c>
      <c r="E99" s="35" t="s">
        <v>648</v>
      </c>
      <c r="F99" s="35" t="s">
        <v>934</v>
      </c>
      <c r="G99" s="35" t="s">
        <v>935</v>
      </c>
      <c r="H99" s="35" t="s">
        <v>936</v>
      </c>
    </row>
    <row r="100" spans="2:8" ht="103.5" thickBot="1">
      <c r="B100" s="35" t="s">
        <v>766</v>
      </c>
      <c r="C100" s="36" t="s">
        <v>937</v>
      </c>
      <c r="D100" s="35" t="s">
        <v>792</v>
      </c>
      <c r="E100" s="35" t="s">
        <v>774</v>
      </c>
      <c r="F100" s="35" t="s">
        <v>934</v>
      </c>
      <c r="G100" s="35"/>
      <c r="H100" s="35" t="s">
        <v>938</v>
      </c>
    </row>
    <row r="101" spans="2:8" ht="52.5" thickBot="1">
      <c r="B101" s="35" t="s">
        <v>322</v>
      </c>
      <c r="C101" s="36"/>
      <c r="D101" s="35" t="s">
        <v>723</v>
      </c>
      <c r="E101" s="35" t="s">
        <v>658</v>
      </c>
      <c r="F101" s="35" t="s">
        <v>939</v>
      </c>
      <c r="G101" s="35" t="s">
        <v>935</v>
      </c>
      <c r="H101" s="35" t="s">
        <v>936</v>
      </c>
    </row>
    <row r="102" spans="2:8" ht="103.5" thickBot="1">
      <c r="B102" s="35" t="s">
        <v>630</v>
      </c>
      <c r="C102" s="36" t="s">
        <v>940</v>
      </c>
      <c r="D102" s="35" t="s">
        <v>589</v>
      </c>
      <c r="E102" s="35" t="s">
        <v>773</v>
      </c>
      <c r="F102" s="35" t="s">
        <v>1205</v>
      </c>
      <c r="G102" s="35"/>
      <c r="H102" s="35" t="s">
        <v>1206</v>
      </c>
    </row>
    <row r="103" spans="2:8" ht="52.5" thickBot="1">
      <c r="B103" s="35" t="s">
        <v>323</v>
      </c>
      <c r="C103" s="35" t="s">
        <v>43</v>
      </c>
      <c r="D103" s="35" t="s">
        <v>130</v>
      </c>
      <c r="E103" s="35" t="s">
        <v>658</v>
      </c>
      <c r="F103" s="35" t="s">
        <v>1207</v>
      </c>
      <c r="G103" s="35"/>
      <c r="H103" s="35"/>
    </row>
    <row r="104" spans="2:8" ht="78" thickBot="1">
      <c r="B104" s="35" t="s">
        <v>756</v>
      </c>
      <c r="C104" s="35" t="s">
        <v>1160</v>
      </c>
      <c r="D104" s="35" t="s">
        <v>130</v>
      </c>
      <c r="E104" s="35" t="s">
        <v>890</v>
      </c>
      <c r="F104" s="35"/>
      <c r="G104" s="35"/>
      <c r="H104" s="35"/>
    </row>
    <row r="105" spans="2:8" ht="52.5" thickBot="1">
      <c r="B105" s="35" t="s">
        <v>324</v>
      </c>
      <c r="C105" s="35" t="s">
        <v>45</v>
      </c>
      <c r="D105" s="35" t="s">
        <v>131</v>
      </c>
      <c r="E105" s="35" t="s">
        <v>658</v>
      </c>
      <c r="F105" s="35" t="s">
        <v>651</v>
      </c>
      <c r="G105" s="35"/>
      <c r="H105" s="35"/>
    </row>
    <row r="106" spans="2:8" ht="78" thickBot="1">
      <c r="B106" s="35" t="s">
        <v>758</v>
      </c>
      <c r="C106" s="35" t="s">
        <v>1161</v>
      </c>
      <c r="D106" s="35" t="s">
        <v>131</v>
      </c>
      <c r="E106" s="35" t="s">
        <v>890</v>
      </c>
      <c r="F106" s="35"/>
      <c r="G106" s="35"/>
      <c r="H106" s="35"/>
    </row>
    <row r="107" spans="2:8" ht="52.5" thickBot="1">
      <c r="B107" s="35" t="s">
        <v>325</v>
      </c>
      <c r="C107" s="35"/>
      <c r="D107" s="35" t="s">
        <v>132</v>
      </c>
      <c r="E107" s="35" t="s">
        <v>658</v>
      </c>
      <c r="F107" s="35" t="s">
        <v>917</v>
      </c>
      <c r="G107" s="35" t="s">
        <v>918</v>
      </c>
      <c r="H107" s="35"/>
    </row>
    <row r="108" spans="2:8" ht="52.5" thickBot="1">
      <c r="B108" s="35" t="s">
        <v>328</v>
      </c>
      <c r="C108" s="35" t="s">
        <v>49</v>
      </c>
      <c r="D108" s="35" t="s">
        <v>135</v>
      </c>
      <c r="E108" s="35" t="s">
        <v>648</v>
      </c>
      <c r="F108" s="35"/>
      <c r="G108" s="35" t="s">
        <v>941</v>
      </c>
      <c r="H108" s="35"/>
    </row>
    <row r="109" spans="2:8" ht="78" thickBot="1">
      <c r="B109" s="35" t="s">
        <v>764</v>
      </c>
      <c r="C109" s="36" t="s">
        <v>1178</v>
      </c>
      <c r="D109" s="35" t="s">
        <v>135</v>
      </c>
      <c r="E109" s="35" t="s">
        <v>942</v>
      </c>
      <c r="F109" s="35"/>
      <c r="G109" s="35"/>
      <c r="H109" s="35"/>
    </row>
    <row r="110" spans="2:8" ht="52.5" thickBot="1">
      <c r="B110" s="35" t="s">
        <v>329</v>
      </c>
      <c r="C110" s="36" t="s">
        <v>50</v>
      </c>
      <c r="D110" s="35" t="s">
        <v>136</v>
      </c>
      <c r="E110" s="35" t="s">
        <v>658</v>
      </c>
      <c r="F110" s="35"/>
      <c r="G110" s="35"/>
      <c r="H110" s="35"/>
    </row>
    <row r="111" spans="2:8" ht="78" thickBot="1">
      <c r="B111" s="35" t="s">
        <v>765</v>
      </c>
      <c r="C111" s="36" t="s">
        <v>1179</v>
      </c>
      <c r="D111" s="35" t="s">
        <v>136</v>
      </c>
      <c r="E111" s="35" t="s">
        <v>867</v>
      </c>
      <c r="F111" s="35"/>
      <c r="G111" s="35"/>
      <c r="H111" s="35"/>
    </row>
    <row r="112" spans="2:8" ht="52.5" thickBot="1">
      <c r="B112" s="35" t="s">
        <v>330</v>
      </c>
      <c r="C112" s="35"/>
      <c r="D112" s="35" t="s">
        <v>590</v>
      </c>
      <c r="E112" s="35" t="s">
        <v>648</v>
      </c>
      <c r="F112" s="35" t="s">
        <v>1208</v>
      </c>
      <c r="G112" s="35" t="s">
        <v>1209</v>
      </c>
      <c r="H112" s="35"/>
    </row>
    <row r="113" spans="2:8" ht="78" thickBot="1">
      <c r="B113" s="35" t="s">
        <v>848</v>
      </c>
      <c r="C113" s="35" t="s">
        <v>945</v>
      </c>
      <c r="D113" s="35" t="s">
        <v>590</v>
      </c>
      <c r="E113" s="35" t="s">
        <v>946</v>
      </c>
      <c r="F113" s="35" t="s">
        <v>944</v>
      </c>
      <c r="G113" s="35"/>
      <c r="H113" s="35"/>
    </row>
    <row r="114" spans="2:8" ht="52.5" thickBot="1">
      <c r="B114" s="35" t="s">
        <v>331</v>
      </c>
      <c r="C114" s="36"/>
      <c r="D114" s="35" t="s">
        <v>591</v>
      </c>
      <c r="E114" s="35" t="s">
        <v>648</v>
      </c>
      <c r="F114" s="35" t="s">
        <v>943</v>
      </c>
      <c r="G114" s="35" t="s">
        <v>944</v>
      </c>
      <c r="H114" s="35"/>
    </row>
    <row r="115" spans="2:8" ht="78" thickBot="1">
      <c r="B115" s="35" t="s">
        <v>849</v>
      </c>
      <c r="C115" s="36" t="s">
        <v>947</v>
      </c>
      <c r="D115" s="35" t="s">
        <v>591</v>
      </c>
      <c r="E115" s="35" t="s">
        <v>948</v>
      </c>
      <c r="F115" s="35" t="s">
        <v>944</v>
      </c>
      <c r="G115" s="35"/>
      <c r="H115" s="35"/>
    </row>
    <row r="116" spans="2:8" ht="52.5" thickBot="1">
      <c r="B116" s="35" t="s">
        <v>332</v>
      </c>
      <c r="C116" s="35" t="s">
        <v>55</v>
      </c>
      <c r="D116" s="35" t="s">
        <v>138</v>
      </c>
      <c r="E116" s="35" t="s">
        <v>658</v>
      </c>
      <c r="F116" s="35" t="s">
        <v>1207</v>
      </c>
      <c r="G116" s="35"/>
      <c r="H116" s="35"/>
    </row>
    <row r="117" spans="2:8" ht="78" thickBot="1">
      <c r="B117" s="35" t="s">
        <v>757</v>
      </c>
      <c r="C117" s="36" t="s">
        <v>1162</v>
      </c>
      <c r="D117" s="35" t="s">
        <v>138</v>
      </c>
      <c r="E117" s="35" t="s">
        <v>890</v>
      </c>
      <c r="F117" s="35"/>
      <c r="G117" s="35"/>
      <c r="H117" s="35"/>
    </row>
    <row r="118" spans="2:8" ht="52.5" thickBot="1">
      <c r="B118" s="35" t="s">
        <v>333</v>
      </c>
      <c r="C118" s="36"/>
      <c r="D118" s="35" t="s">
        <v>137</v>
      </c>
      <c r="E118" s="35" t="s">
        <v>658</v>
      </c>
      <c r="F118" s="35" t="s">
        <v>917</v>
      </c>
      <c r="G118" s="35" t="s">
        <v>918</v>
      </c>
      <c r="H118" s="35"/>
    </row>
    <row r="119" spans="2:8" ht="52.5" thickBot="1">
      <c r="B119" s="35" t="s">
        <v>516</v>
      </c>
      <c r="C119" s="35"/>
      <c r="D119" s="35" t="s">
        <v>585</v>
      </c>
      <c r="E119" s="35" t="s">
        <v>720</v>
      </c>
      <c r="F119" s="35" t="s">
        <v>949</v>
      </c>
      <c r="G119" s="35" t="s">
        <v>869</v>
      </c>
      <c r="H119" s="35" t="s">
        <v>870</v>
      </c>
    </row>
    <row r="120" spans="2:8" ht="103.5" thickBot="1">
      <c r="B120" s="35" t="s">
        <v>777</v>
      </c>
      <c r="C120" s="35" t="s">
        <v>1148</v>
      </c>
      <c r="D120" s="35" t="s">
        <v>778</v>
      </c>
      <c r="E120" s="35" t="s">
        <v>783</v>
      </c>
      <c r="F120" s="35"/>
      <c r="G120" s="35" t="s">
        <v>950</v>
      </c>
      <c r="H120" s="35" t="s">
        <v>951</v>
      </c>
    </row>
    <row r="121" spans="2:8" ht="52.5" thickBot="1">
      <c r="B121" s="35" t="s">
        <v>517</v>
      </c>
      <c r="C121" s="35"/>
      <c r="D121" s="35" t="s">
        <v>722</v>
      </c>
      <c r="E121" s="35" t="s">
        <v>721</v>
      </c>
      <c r="F121" s="35" t="s">
        <v>952</v>
      </c>
      <c r="G121" s="35" t="s">
        <v>950</v>
      </c>
      <c r="H121" s="35"/>
    </row>
    <row r="122" spans="2:8" ht="52.5" thickBot="1">
      <c r="B122" s="35" t="s">
        <v>509</v>
      </c>
      <c r="C122" s="35"/>
      <c r="D122" s="35" t="s">
        <v>503</v>
      </c>
      <c r="E122" s="35" t="s">
        <v>720</v>
      </c>
      <c r="F122" s="35"/>
      <c r="G122" s="35" t="s">
        <v>869</v>
      </c>
      <c r="H122" s="35" t="s">
        <v>870</v>
      </c>
    </row>
    <row r="123" spans="2:8" ht="103.5" thickBot="1">
      <c r="B123" s="35" t="s">
        <v>779</v>
      </c>
      <c r="C123" s="35" t="s">
        <v>1149</v>
      </c>
      <c r="D123" s="35" t="s">
        <v>503</v>
      </c>
      <c r="E123" s="35" t="s">
        <v>783</v>
      </c>
      <c r="F123" s="35"/>
      <c r="G123" s="35"/>
      <c r="H123" s="35" t="s">
        <v>953</v>
      </c>
    </row>
    <row r="124" spans="2:8" ht="52.5" thickBot="1">
      <c r="B124" s="35" t="s">
        <v>511</v>
      </c>
      <c r="C124" s="35"/>
      <c r="D124" s="35" t="s">
        <v>505</v>
      </c>
      <c r="E124" s="35" t="s">
        <v>721</v>
      </c>
      <c r="F124" s="35" t="s">
        <v>954</v>
      </c>
      <c r="G124" s="35" t="s">
        <v>955</v>
      </c>
      <c r="H124" s="35"/>
    </row>
    <row r="125" spans="2:8" ht="78" thickBot="1">
      <c r="B125" s="35" t="s">
        <v>781</v>
      </c>
      <c r="C125" s="35" t="s">
        <v>1150</v>
      </c>
      <c r="D125" s="35" t="s">
        <v>505</v>
      </c>
      <c r="E125" s="35" t="s">
        <v>1151</v>
      </c>
      <c r="F125" s="35"/>
      <c r="G125" s="35"/>
      <c r="H125" s="35"/>
    </row>
    <row r="126" spans="2:8" ht="52.5" thickBot="1">
      <c r="B126" s="35" t="s">
        <v>510</v>
      </c>
      <c r="C126" s="35"/>
      <c r="D126" s="35" t="s">
        <v>504</v>
      </c>
      <c r="E126" s="35" t="s">
        <v>721</v>
      </c>
      <c r="F126" s="35" t="s">
        <v>954</v>
      </c>
      <c r="G126" s="35" t="s">
        <v>955</v>
      </c>
      <c r="H126" s="35"/>
    </row>
    <row r="127" spans="2:8" ht="78" thickBot="1">
      <c r="B127" s="35" t="s">
        <v>780</v>
      </c>
      <c r="C127" s="35" t="s">
        <v>956</v>
      </c>
      <c r="D127" s="35" t="s">
        <v>504</v>
      </c>
      <c r="E127" s="35" t="s">
        <v>1151</v>
      </c>
      <c r="F127" s="35"/>
      <c r="G127" s="35"/>
      <c r="H127" s="35"/>
    </row>
    <row r="128" spans="2:8" ht="52.5" thickBot="1">
      <c r="B128" s="35" t="s">
        <v>518</v>
      </c>
      <c r="C128" s="35"/>
      <c r="D128" s="35" t="s">
        <v>586</v>
      </c>
      <c r="E128" s="35" t="s">
        <v>721</v>
      </c>
      <c r="F128" s="35" t="s">
        <v>957</v>
      </c>
      <c r="G128" s="35" t="s">
        <v>869</v>
      </c>
      <c r="H128" s="35" t="s">
        <v>870</v>
      </c>
    </row>
    <row r="129" spans="2:8" ht="103.5" thickBot="1">
      <c r="B129" s="35" t="s">
        <v>776</v>
      </c>
      <c r="C129" s="35" t="s">
        <v>1152</v>
      </c>
      <c r="D129" s="35" t="s">
        <v>586</v>
      </c>
      <c r="E129" s="35" t="s">
        <v>783</v>
      </c>
      <c r="F129" s="35" t="s">
        <v>957</v>
      </c>
      <c r="G129" s="35"/>
      <c r="H129" s="35" t="s">
        <v>958</v>
      </c>
    </row>
    <row r="130" spans="2:8" ht="52.5" thickBot="1">
      <c r="B130" s="35" t="s">
        <v>508</v>
      </c>
      <c r="C130" s="35"/>
      <c r="D130" s="35" t="s">
        <v>502</v>
      </c>
      <c r="E130" s="35" t="s">
        <v>721</v>
      </c>
      <c r="F130" s="35" t="s">
        <v>957</v>
      </c>
      <c r="G130" s="35"/>
      <c r="H130" s="35"/>
    </row>
    <row r="131" spans="2:8" ht="78" thickBot="1">
      <c r="B131" s="35" t="s">
        <v>847</v>
      </c>
      <c r="C131" s="35" t="s">
        <v>1153</v>
      </c>
      <c r="D131" s="35" t="s">
        <v>502</v>
      </c>
      <c r="E131" s="35" t="s">
        <v>959</v>
      </c>
      <c r="F131" s="35"/>
      <c r="G131" s="35"/>
      <c r="H131" s="35"/>
    </row>
    <row r="132" spans="2:8" ht="27" thickBot="1">
      <c r="B132" s="35" t="s">
        <v>272</v>
      </c>
      <c r="C132" s="35"/>
      <c r="D132" s="35" t="s">
        <v>97</v>
      </c>
      <c r="E132" s="35" t="s">
        <v>709</v>
      </c>
      <c r="F132" s="35" t="s">
        <v>960</v>
      </c>
      <c r="G132" s="35" t="s">
        <v>961</v>
      </c>
      <c r="H132" s="35" t="s">
        <v>962</v>
      </c>
    </row>
    <row r="133" spans="2:8" ht="52.5" thickBot="1">
      <c r="B133" s="35" t="s">
        <v>273</v>
      </c>
      <c r="C133" s="35"/>
      <c r="D133" s="35" t="s">
        <v>570</v>
      </c>
      <c r="E133" s="35" t="s">
        <v>649</v>
      </c>
      <c r="F133" s="35" t="s">
        <v>928</v>
      </c>
      <c r="G133" s="35" t="s">
        <v>963</v>
      </c>
      <c r="H133" s="35"/>
    </row>
    <row r="134" spans="2:8" ht="52.5" thickBot="1">
      <c r="B134" s="35" t="s">
        <v>274</v>
      </c>
      <c r="C134" s="35"/>
      <c r="D134" s="35" t="s">
        <v>571</v>
      </c>
      <c r="E134" s="35" t="s">
        <v>649</v>
      </c>
      <c r="F134" s="35" t="s">
        <v>964</v>
      </c>
      <c r="G134" s="35" t="s">
        <v>869</v>
      </c>
      <c r="H134" s="35" t="s">
        <v>870</v>
      </c>
    </row>
    <row r="135" spans="2:8" ht="52.5" thickBot="1">
      <c r="B135" s="35" t="s">
        <v>275</v>
      </c>
      <c r="C135" s="35"/>
      <c r="D135" s="35" t="s">
        <v>710</v>
      </c>
      <c r="E135" s="35" t="s">
        <v>649</v>
      </c>
      <c r="F135" s="35" t="s">
        <v>928</v>
      </c>
      <c r="G135" s="35" t="s">
        <v>869</v>
      </c>
      <c r="H135" s="35" t="s">
        <v>929</v>
      </c>
    </row>
    <row r="136" spans="2:8" ht="52.5" thickBot="1">
      <c r="B136" s="35" t="s">
        <v>276</v>
      </c>
      <c r="C136" s="35"/>
      <c r="D136" s="35" t="s">
        <v>572</v>
      </c>
      <c r="E136" s="35" t="s">
        <v>649</v>
      </c>
      <c r="F136" s="35" t="s">
        <v>928</v>
      </c>
      <c r="G136" s="35"/>
      <c r="H136" s="35" t="s">
        <v>926</v>
      </c>
    </row>
    <row r="137" spans="2:8" ht="52.5" thickBot="1">
      <c r="B137" s="35" t="s">
        <v>277</v>
      </c>
      <c r="C137" s="35"/>
      <c r="D137" s="35" t="s">
        <v>711</v>
      </c>
      <c r="E137" s="35" t="s">
        <v>649</v>
      </c>
      <c r="F137" s="35" t="s">
        <v>928</v>
      </c>
      <c r="G137" s="35"/>
      <c r="H137" s="35" t="s">
        <v>965</v>
      </c>
    </row>
    <row r="138" spans="2:8" ht="52.5" thickBot="1">
      <c r="B138" s="35" t="s">
        <v>278</v>
      </c>
      <c r="C138" s="35"/>
      <c r="D138" s="35" t="s">
        <v>98</v>
      </c>
      <c r="E138" s="35" t="s">
        <v>649</v>
      </c>
      <c r="F138" s="35" t="s">
        <v>928</v>
      </c>
      <c r="G138" s="35" t="s">
        <v>709</v>
      </c>
      <c r="H138" s="35"/>
    </row>
    <row r="139" spans="2:8" ht="52.5" thickBot="1">
      <c r="B139" s="35" t="s">
        <v>279</v>
      </c>
      <c r="C139" s="35"/>
      <c r="D139" s="35" t="s">
        <v>712</v>
      </c>
      <c r="E139" s="35" t="s">
        <v>649</v>
      </c>
      <c r="F139" s="35" t="s">
        <v>928</v>
      </c>
      <c r="G139" s="35" t="s">
        <v>869</v>
      </c>
      <c r="H139" s="35" t="s">
        <v>870</v>
      </c>
    </row>
    <row r="140" spans="2:8" ht="52.5" thickBot="1">
      <c r="B140" s="35" t="s">
        <v>280</v>
      </c>
      <c r="C140" s="35"/>
      <c r="D140" s="35" t="s">
        <v>713</v>
      </c>
      <c r="E140" s="35" t="s">
        <v>649</v>
      </c>
      <c r="F140" s="35" t="s">
        <v>1210</v>
      </c>
      <c r="G140" s="35" t="s">
        <v>1211</v>
      </c>
      <c r="H140" s="35"/>
    </row>
    <row r="141" spans="2:8" ht="52.5" thickBot="1">
      <c r="B141" s="35" t="s">
        <v>281</v>
      </c>
      <c r="C141" s="35"/>
      <c r="D141" s="35" t="s">
        <v>99</v>
      </c>
      <c r="E141" s="35" t="s">
        <v>649</v>
      </c>
      <c r="F141" s="35" t="s">
        <v>928</v>
      </c>
      <c r="G141" s="35" t="s">
        <v>869</v>
      </c>
      <c r="H141" s="35" t="s">
        <v>870</v>
      </c>
    </row>
    <row r="142" spans="2:8" ht="52.5" thickBot="1">
      <c r="B142" s="35" t="s">
        <v>294</v>
      </c>
      <c r="C142" s="35" t="s">
        <v>26</v>
      </c>
      <c r="D142" s="35" t="s">
        <v>577</v>
      </c>
      <c r="E142" s="35" t="s">
        <v>648</v>
      </c>
      <c r="F142" s="35" t="s">
        <v>952</v>
      </c>
      <c r="G142" s="35" t="s">
        <v>966</v>
      </c>
      <c r="H142" s="35"/>
    </row>
    <row r="143" spans="2:8" ht="52.5" thickBot="1">
      <c r="B143" s="35" t="s">
        <v>297</v>
      </c>
      <c r="C143" s="35"/>
      <c r="D143" s="35" t="s">
        <v>116</v>
      </c>
      <c r="E143" s="35" t="s">
        <v>648</v>
      </c>
      <c r="F143" s="35"/>
      <c r="G143" s="35" t="s">
        <v>869</v>
      </c>
      <c r="H143" s="35" t="s">
        <v>870</v>
      </c>
    </row>
    <row r="144" spans="2:8" ht="103.5" thickBot="1">
      <c r="B144" s="35" t="s">
        <v>653</v>
      </c>
      <c r="C144" s="35" t="s">
        <v>971</v>
      </c>
      <c r="D144" s="35" t="s">
        <v>116</v>
      </c>
      <c r="E144" s="35" t="s">
        <v>644</v>
      </c>
      <c r="F144" s="35"/>
      <c r="G144" s="35"/>
      <c r="H144" s="35" t="s">
        <v>972</v>
      </c>
    </row>
    <row r="145" spans="2:8" ht="52.5" thickBot="1">
      <c r="B145" s="35" t="s">
        <v>298</v>
      </c>
      <c r="C145" s="35"/>
      <c r="D145" s="35" t="s">
        <v>579</v>
      </c>
      <c r="E145" s="35" t="s">
        <v>648</v>
      </c>
      <c r="F145" s="35"/>
      <c r="G145" s="35" t="s">
        <v>869</v>
      </c>
      <c r="H145" s="35" t="s">
        <v>870</v>
      </c>
    </row>
    <row r="146" spans="2:8" ht="103.5" thickBot="1">
      <c r="B146" s="35" t="s">
        <v>654</v>
      </c>
      <c r="C146" s="35" t="s">
        <v>973</v>
      </c>
      <c r="D146" s="35" t="s">
        <v>579</v>
      </c>
      <c r="E146" s="35" t="s">
        <v>644</v>
      </c>
      <c r="F146" s="35"/>
      <c r="G146" s="35"/>
      <c r="H146" s="35" t="s">
        <v>974</v>
      </c>
    </row>
    <row r="147" spans="2:8" ht="52.5" thickBot="1">
      <c r="B147" s="35" t="s">
        <v>299</v>
      </c>
      <c r="C147" s="35"/>
      <c r="D147" s="35" t="s">
        <v>114</v>
      </c>
      <c r="E147" s="35" t="s">
        <v>648</v>
      </c>
      <c r="F147" s="35" t="s">
        <v>967</v>
      </c>
      <c r="G147" s="35" t="s">
        <v>869</v>
      </c>
      <c r="H147" s="35" t="s">
        <v>929</v>
      </c>
    </row>
    <row r="148" spans="2:8" ht="103.5" thickBot="1">
      <c r="B148" s="35" t="s">
        <v>655</v>
      </c>
      <c r="C148" s="35" t="s">
        <v>975</v>
      </c>
      <c r="D148" s="35" t="s">
        <v>114</v>
      </c>
      <c r="E148" s="35" t="s">
        <v>644</v>
      </c>
      <c r="F148" s="35" t="s">
        <v>967</v>
      </c>
      <c r="G148" s="35"/>
      <c r="H148" s="35" t="s">
        <v>976</v>
      </c>
    </row>
    <row r="149" spans="2:8" ht="52.5" thickBot="1">
      <c r="B149" s="35" t="s">
        <v>300</v>
      </c>
      <c r="C149" s="35"/>
      <c r="D149" s="35" t="s">
        <v>580</v>
      </c>
      <c r="E149" s="35" t="s">
        <v>648</v>
      </c>
      <c r="F149" s="35" t="s">
        <v>967</v>
      </c>
      <c r="G149" s="35" t="s">
        <v>869</v>
      </c>
      <c r="H149" s="35" t="s">
        <v>870</v>
      </c>
    </row>
    <row r="150" spans="2:8" ht="103.5" thickBot="1">
      <c r="B150" s="35" t="s">
        <v>800</v>
      </c>
      <c r="C150" s="35" t="s">
        <v>977</v>
      </c>
      <c r="D150" s="35" t="s">
        <v>580</v>
      </c>
      <c r="E150" s="35" t="s">
        <v>644</v>
      </c>
      <c r="F150" s="35" t="s">
        <v>967</v>
      </c>
      <c r="G150" s="35"/>
      <c r="H150" s="35" t="s">
        <v>978</v>
      </c>
    </row>
    <row r="151" spans="2:8" ht="52.5" thickBot="1">
      <c r="B151" s="35" t="s">
        <v>301</v>
      </c>
      <c r="C151" s="35"/>
      <c r="D151" s="35" t="s">
        <v>115</v>
      </c>
      <c r="E151" s="35" t="s">
        <v>648</v>
      </c>
      <c r="F151" s="35" t="s">
        <v>967</v>
      </c>
      <c r="G151" s="35" t="s">
        <v>869</v>
      </c>
      <c r="H151" s="35" t="s">
        <v>929</v>
      </c>
    </row>
    <row r="152" spans="2:8" ht="103.5" thickBot="1">
      <c r="B152" s="35" t="s">
        <v>801</v>
      </c>
      <c r="C152" s="35" t="s">
        <v>979</v>
      </c>
      <c r="D152" s="35" t="s">
        <v>115</v>
      </c>
      <c r="E152" s="35" t="s">
        <v>644</v>
      </c>
      <c r="F152" s="35" t="s">
        <v>967</v>
      </c>
      <c r="G152" s="35"/>
      <c r="H152" s="35" t="s">
        <v>980</v>
      </c>
    </row>
    <row r="153" spans="2:8" ht="52.5" thickBot="1">
      <c r="B153" s="35" t="s">
        <v>302</v>
      </c>
      <c r="C153" s="35"/>
      <c r="D153" s="35" t="s">
        <v>581</v>
      </c>
      <c r="E153" s="35" t="s">
        <v>648</v>
      </c>
      <c r="F153" s="35" t="s">
        <v>967</v>
      </c>
      <c r="G153" s="35" t="s">
        <v>869</v>
      </c>
      <c r="H153" s="35" t="s">
        <v>870</v>
      </c>
    </row>
    <row r="154" spans="2:8" ht="103.5" thickBot="1">
      <c r="B154" s="35" t="s">
        <v>802</v>
      </c>
      <c r="C154" s="35" t="s">
        <v>981</v>
      </c>
      <c r="D154" s="35" t="s">
        <v>581</v>
      </c>
      <c r="E154" s="35" t="s">
        <v>644</v>
      </c>
      <c r="F154" s="35" t="s">
        <v>1212</v>
      </c>
      <c r="G154" s="35"/>
      <c r="H154" s="35" t="s">
        <v>1213</v>
      </c>
    </row>
    <row r="155" spans="2:8" ht="52.5" thickBot="1">
      <c r="B155" s="35" t="s">
        <v>303</v>
      </c>
      <c r="C155" s="35" t="s">
        <v>27</v>
      </c>
      <c r="D155" s="35" t="s">
        <v>582</v>
      </c>
      <c r="E155" s="35" t="s">
        <v>648</v>
      </c>
      <c r="F155" s="35" t="s">
        <v>967</v>
      </c>
      <c r="G155" s="35" t="s">
        <v>869</v>
      </c>
      <c r="H155" s="35" t="s">
        <v>870</v>
      </c>
    </row>
    <row r="156" spans="2:8" ht="103.5" thickBot="1">
      <c r="B156" s="35" t="s">
        <v>803</v>
      </c>
      <c r="C156" s="35" t="s">
        <v>1154</v>
      </c>
      <c r="D156" s="35" t="s">
        <v>582</v>
      </c>
      <c r="E156" s="35" t="s">
        <v>644</v>
      </c>
      <c r="F156" s="35" t="s">
        <v>967</v>
      </c>
      <c r="G156" s="35"/>
      <c r="H156" s="35" t="s">
        <v>978</v>
      </c>
    </row>
    <row r="157" spans="2:8" ht="103.5" thickBot="1">
      <c r="B157" s="35" t="s">
        <v>1156</v>
      </c>
      <c r="C157" s="36" t="s">
        <v>1180</v>
      </c>
      <c r="D157" s="35" t="s">
        <v>775</v>
      </c>
      <c r="E157" s="35" t="s">
        <v>644</v>
      </c>
      <c r="F157" s="35" t="s">
        <v>966</v>
      </c>
      <c r="G157" s="35"/>
      <c r="H157" s="35" t="s">
        <v>982</v>
      </c>
    </row>
    <row r="158" spans="2:8" ht="52.5" thickBot="1">
      <c r="B158" s="35" t="s">
        <v>304</v>
      </c>
      <c r="C158" s="35" t="s">
        <v>28</v>
      </c>
      <c r="D158" s="35" t="s">
        <v>117</v>
      </c>
      <c r="E158" s="35" t="s">
        <v>829</v>
      </c>
      <c r="F158" s="35" t="s">
        <v>652</v>
      </c>
      <c r="G158" s="35" t="s">
        <v>869</v>
      </c>
      <c r="H158" s="35" t="s">
        <v>870</v>
      </c>
    </row>
    <row r="159" spans="2:8" ht="103.5" thickBot="1">
      <c r="B159" s="35" t="s">
        <v>827</v>
      </c>
      <c r="C159" s="36" t="s">
        <v>1181</v>
      </c>
      <c r="D159" s="35" t="s">
        <v>117</v>
      </c>
      <c r="E159" s="35" t="s">
        <v>890</v>
      </c>
      <c r="F159" s="35"/>
      <c r="G159" s="35"/>
      <c r="H159" s="35" t="s">
        <v>983</v>
      </c>
    </row>
    <row r="160" spans="2:8" ht="45.75" thickBot="1">
      <c r="B160" s="35" t="s">
        <v>305</v>
      </c>
      <c r="C160" s="36" t="s">
        <v>30</v>
      </c>
      <c r="D160" s="35" t="s">
        <v>1188</v>
      </c>
      <c r="E160" s="35" t="s">
        <v>651</v>
      </c>
      <c r="F160" s="35"/>
      <c r="G160" s="35" t="s">
        <v>869</v>
      </c>
      <c r="H160" s="35" t="s">
        <v>870</v>
      </c>
    </row>
    <row r="161" spans="2:8" ht="52.5" thickBot="1">
      <c r="B161" s="35" t="s">
        <v>306</v>
      </c>
      <c r="C161" s="35" t="s">
        <v>1189</v>
      </c>
      <c r="D161" s="35" t="s">
        <v>717</v>
      </c>
      <c r="E161" s="35" t="s">
        <v>658</v>
      </c>
      <c r="F161" s="35"/>
      <c r="G161" s="35" t="s">
        <v>869</v>
      </c>
      <c r="H161" s="35" t="s">
        <v>870</v>
      </c>
    </row>
    <row r="162" spans="2:8" ht="52.5" thickBot="1">
      <c r="B162" s="35" t="s">
        <v>307</v>
      </c>
      <c r="C162" s="36"/>
      <c r="D162" s="35" t="s">
        <v>583</v>
      </c>
      <c r="E162" s="35" t="s">
        <v>648</v>
      </c>
      <c r="F162" s="35" t="s">
        <v>968</v>
      </c>
      <c r="G162" s="35"/>
      <c r="H162" s="35"/>
    </row>
    <row r="163" spans="2:8" ht="52.5" thickBot="1">
      <c r="B163" s="35" t="s">
        <v>308</v>
      </c>
      <c r="C163" s="36" t="s">
        <v>31</v>
      </c>
      <c r="D163" s="35" t="s">
        <v>718</v>
      </c>
      <c r="E163" s="35" t="s">
        <v>719</v>
      </c>
      <c r="F163" s="35" t="s">
        <v>969</v>
      </c>
      <c r="G163" s="35"/>
      <c r="H163" s="35"/>
    </row>
    <row r="164" spans="2:8" ht="52.5" thickBot="1">
      <c r="B164" s="35" t="s">
        <v>309</v>
      </c>
      <c r="C164" s="35"/>
      <c r="D164" s="35" t="s">
        <v>584</v>
      </c>
      <c r="E164" s="35" t="s">
        <v>648</v>
      </c>
      <c r="F164" s="35" t="s">
        <v>969</v>
      </c>
      <c r="G164" s="35" t="s">
        <v>869</v>
      </c>
      <c r="H164" s="35" t="s">
        <v>870</v>
      </c>
    </row>
    <row r="165" spans="2:8" ht="52.5" thickBot="1">
      <c r="B165" s="35" t="s">
        <v>310</v>
      </c>
      <c r="C165" s="36" t="s">
        <v>32</v>
      </c>
      <c r="D165" s="35" t="s">
        <v>121</v>
      </c>
      <c r="E165" s="35" t="s">
        <v>648</v>
      </c>
      <c r="F165" s="35" t="s">
        <v>969</v>
      </c>
      <c r="G165" s="35" t="s">
        <v>869</v>
      </c>
      <c r="H165" s="35" t="s">
        <v>870</v>
      </c>
    </row>
    <row r="166" spans="2:8" ht="52.5" thickBot="1">
      <c r="B166" s="35" t="s">
        <v>311</v>
      </c>
      <c r="C166" s="35" t="s">
        <v>33</v>
      </c>
      <c r="D166" s="35" t="s">
        <v>122</v>
      </c>
      <c r="E166" s="35" t="s">
        <v>658</v>
      </c>
      <c r="F166" s="35" t="s">
        <v>969</v>
      </c>
      <c r="G166" s="35"/>
      <c r="H166" s="35"/>
    </row>
    <row r="167" spans="2:8" ht="52.5" thickBot="1">
      <c r="B167" s="35" t="s">
        <v>312</v>
      </c>
      <c r="C167" s="35" t="s">
        <v>34</v>
      </c>
      <c r="D167" s="35" t="s">
        <v>123</v>
      </c>
      <c r="E167" s="35" t="s">
        <v>658</v>
      </c>
      <c r="F167" s="35" t="s">
        <v>969</v>
      </c>
      <c r="G167" s="35"/>
      <c r="H167" s="35"/>
    </row>
    <row r="168" spans="2:8" ht="103.5" thickBot="1">
      <c r="B168" s="35" t="s">
        <v>656</v>
      </c>
      <c r="C168" s="35" t="s">
        <v>1164</v>
      </c>
      <c r="D168" s="35" t="s">
        <v>984</v>
      </c>
      <c r="E168" s="35" t="s">
        <v>644</v>
      </c>
      <c r="F168" s="35" t="s">
        <v>985</v>
      </c>
      <c r="G168" s="35"/>
      <c r="H168" s="35" t="s">
        <v>986</v>
      </c>
    </row>
    <row r="169" spans="2:8" ht="52.5" thickBot="1">
      <c r="B169" s="35" t="s">
        <v>313</v>
      </c>
      <c r="C169" s="36" t="s">
        <v>36</v>
      </c>
      <c r="D169" s="35" t="s">
        <v>124</v>
      </c>
      <c r="E169" s="35" t="s">
        <v>658</v>
      </c>
      <c r="F169" s="35"/>
      <c r="G169" s="35"/>
      <c r="H169" s="35"/>
    </row>
    <row r="170" spans="2:8" ht="52.5" thickBot="1">
      <c r="B170" s="35" t="s">
        <v>507</v>
      </c>
      <c r="C170" s="35"/>
      <c r="D170" s="35" t="s">
        <v>506</v>
      </c>
      <c r="E170" s="35" t="s">
        <v>721</v>
      </c>
      <c r="F170" s="35" t="s">
        <v>957</v>
      </c>
      <c r="G170" s="35"/>
      <c r="H170" s="35"/>
    </row>
    <row r="171" spans="2:8" ht="78" thickBot="1">
      <c r="B171" s="35" t="s">
        <v>782</v>
      </c>
      <c r="C171" s="35" t="s">
        <v>1155</v>
      </c>
      <c r="D171" s="35" t="s">
        <v>506</v>
      </c>
      <c r="E171" s="35" t="s">
        <v>959</v>
      </c>
      <c r="F171" s="35"/>
      <c r="G171" s="35"/>
      <c r="H171" s="35"/>
    </row>
    <row r="172" spans="2:8" ht="52.5" thickBot="1">
      <c r="B172" s="35" t="s">
        <v>314</v>
      </c>
      <c r="C172" s="35"/>
      <c r="D172" s="35" t="s">
        <v>125</v>
      </c>
      <c r="E172" s="35" t="s">
        <v>648</v>
      </c>
      <c r="F172" s="35" t="s">
        <v>1214</v>
      </c>
      <c r="G172" s="35" t="s">
        <v>1215</v>
      </c>
      <c r="H172" s="35" t="s">
        <v>1216</v>
      </c>
    </row>
    <row r="173" spans="2:8" ht="52.5" thickBot="1">
      <c r="B173" s="35" t="s">
        <v>501</v>
      </c>
      <c r="C173" s="35"/>
      <c r="D173" s="35" t="s">
        <v>820</v>
      </c>
      <c r="E173" s="35" t="s">
        <v>648</v>
      </c>
      <c r="F173" s="35" t="s">
        <v>928</v>
      </c>
      <c r="G173" s="35"/>
      <c r="H173" s="35"/>
    </row>
    <row r="174" spans="2:8" ht="52.5" thickBot="1">
      <c r="B174" s="35" t="s">
        <v>315</v>
      </c>
      <c r="C174" s="35"/>
      <c r="D174" s="35" t="s">
        <v>126</v>
      </c>
      <c r="E174" s="35" t="s">
        <v>648</v>
      </c>
      <c r="F174" s="35" t="s">
        <v>928</v>
      </c>
      <c r="G174" s="35"/>
      <c r="H174" s="35"/>
    </row>
    <row r="175" spans="2:8" ht="52.5" thickBot="1">
      <c r="B175" s="35" t="s">
        <v>513</v>
      </c>
      <c r="C175" s="35"/>
      <c r="D175" s="35" t="s">
        <v>588</v>
      </c>
      <c r="E175" s="35" t="s">
        <v>652</v>
      </c>
      <c r="F175" s="35" t="s">
        <v>970</v>
      </c>
      <c r="G175" s="35"/>
      <c r="H175" s="35"/>
    </row>
    <row r="176" spans="2:8" ht="27" thickBot="1">
      <c r="B176" s="35" t="s">
        <v>317</v>
      </c>
      <c r="C176" s="35" t="s">
        <v>38</v>
      </c>
      <c r="D176" s="35" t="s">
        <v>127</v>
      </c>
      <c r="E176" s="35" t="s">
        <v>651</v>
      </c>
      <c r="F176" s="35"/>
      <c r="G176" s="35"/>
      <c r="H176" s="35"/>
    </row>
    <row r="177" spans="2:8" ht="52.5" thickBot="1">
      <c r="B177" s="35" t="s">
        <v>319</v>
      </c>
      <c r="C177" s="35" t="s">
        <v>41</v>
      </c>
      <c r="D177" s="35" t="s">
        <v>120</v>
      </c>
      <c r="E177" s="35" t="s">
        <v>648</v>
      </c>
      <c r="F177" s="35"/>
      <c r="G177" s="35" t="s">
        <v>869</v>
      </c>
      <c r="H177" s="35" t="s">
        <v>870</v>
      </c>
    </row>
    <row r="178" spans="2:8" ht="52.5" thickBot="1">
      <c r="B178" s="35" t="s">
        <v>320</v>
      </c>
      <c r="C178" s="36" t="s">
        <v>42</v>
      </c>
      <c r="D178" s="35" t="s">
        <v>129</v>
      </c>
      <c r="E178" s="35" t="s">
        <v>648</v>
      </c>
      <c r="F178" s="35"/>
      <c r="G178" s="35" t="s">
        <v>941</v>
      </c>
      <c r="H178" s="35"/>
    </row>
    <row r="179" spans="2:8" ht="78" thickBot="1">
      <c r="B179" s="35" t="s">
        <v>755</v>
      </c>
      <c r="C179" s="35" t="s">
        <v>987</v>
      </c>
      <c r="D179" s="35" t="s">
        <v>129</v>
      </c>
      <c r="E179" s="35" t="s">
        <v>988</v>
      </c>
      <c r="F179" s="35"/>
      <c r="G179" s="35"/>
      <c r="H179" s="35"/>
    </row>
    <row r="180" spans="2:8" ht="103.5" thickBot="1">
      <c r="B180" s="35" t="s">
        <v>1145</v>
      </c>
      <c r="C180" s="36" t="s">
        <v>1163</v>
      </c>
      <c r="D180" s="35" t="s">
        <v>1146</v>
      </c>
      <c r="E180" s="35" t="s">
        <v>644</v>
      </c>
      <c r="F180" s="35" t="s">
        <v>985</v>
      </c>
      <c r="G180" s="35"/>
      <c r="H180" s="35" t="s">
        <v>986</v>
      </c>
    </row>
    <row r="181" spans="2:8" ht="78" thickBot="1">
      <c r="B181" s="35" t="s">
        <v>1157</v>
      </c>
      <c r="C181" s="36" t="s">
        <v>1182</v>
      </c>
      <c r="D181" s="35" t="s">
        <v>1158</v>
      </c>
      <c r="E181" s="35" t="s">
        <v>1165</v>
      </c>
      <c r="F181" s="35"/>
      <c r="G181" s="35"/>
      <c r="H181" s="35"/>
    </row>
    <row r="182" spans="2:8" ht="52.5" thickBot="1">
      <c r="B182" s="35" t="s">
        <v>348</v>
      </c>
      <c r="C182" s="35" t="s">
        <v>1190</v>
      </c>
      <c r="D182" s="35" t="s">
        <v>596</v>
      </c>
      <c r="E182" s="35" t="s">
        <v>658</v>
      </c>
      <c r="F182" s="35" t="s">
        <v>872</v>
      </c>
      <c r="G182" s="35" t="s">
        <v>989</v>
      </c>
      <c r="H182" s="35"/>
    </row>
    <row r="183" spans="2:8" ht="90.75" thickBot="1">
      <c r="B183" s="35" t="s">
        <v>639</v>
      </c>
      <c r="C183" s="36" t="s">
        <v>990</v>
      </c>
      <c r="D183" s="35" t="s">
        <v>596</v>
      </c>
      <c r="E183" s="35" t="s">
        <v>991</v>
      </c>
      <c r="F183" s="35"/>
      <c r="G183" s="35"/>
      <c r="H183" s="35"/>
    </row>
    <row r="184" spans="2:8" ht="52.5" thickBot="1">
      <c r="B184" s="35" t="s">
        <v>343</v>
      </c>
      <c r="C184" s="35" t="s">
        <v>24</v>
      </c>
      <c r="D184" s="35" t="s">
        <v>594</v>
      </c>
      <c r="E184" s="35" t="s">
        <v>658</v>
      </c>
      <c r="F184" s="35" t="s">
        <v>952</v>
      </c>
      <c r="G184" s="35" t="s">
        <v>992</v>
      </c>
      <c r="H184" s="35" t="s">
        <v>993</v>
      </c>
    </row>
    <row r="185" spans="2:8" ht="52.5" thickBot="1">
      <c r="B185" s="35" t="s">
        <v>344</v>
      </c>
      <c r="C185" s="36" t="s">
        <v>1191</v>
      </c>
      <c r="D185" s="35" t="s">
        <v>71</v>
      </c>
      <c r="E185" s="35" t="s">
        <v>648</v>
      </c>
      <c r="F185" s="35" t="s">
        <v>868</v>
      </c>
      <c r="G185" s="35" t="s">
        <v>869</v>
      </c>
      <c r="H185" s="35" t="s">
        <v>870</v>
      </c>
    </row>
    <row r="186" spans="2:8" ht="103.5" thickBot="1">
      <c r="B186" s="35" t="s">
        <v>636</v>
      </c>
      <c r="C186" s="35" t="s">
        <v>994</v>
      </c>
      <c r="D186" s="35" t="s">
        <v>71</v>
      </c>
      <c r="E186" s="35" t="s">
        <v>644</v>
      </c>
      <c r="F186" s="35" t="s">
        <v>995</v>
      </c>
      <c r="G186" s="35"/>
      <c r="H186" s="35" t="s">
        <v>996</v>
      </c>
    </row>
    <row r="187" spans="2:8" ht="52.5" thickBot="1">
      <c r="B187" s="35" t="s">
        <v>345</v>
      </c>
      <c r="C187" s="36" t="s">
        <v>1192</v>
      </c>
      <c r="D187" s="35" t="s">
        <v>595</v>
      </c>
      <c r="E187" s="35" t="s">
        <v>658</v>
      </c>
      <c r="F187" s="35" t="s">
        <v>1205</v>
      </c>
      <c r="G187" s="35" t="s">
        <v>1217</v>
      </c>
      <c r="H187" s="35" t="s">
        <v>1218</v>
      </c>
    </row>
    <row r="188" spans="2:8" ht="52.5" thickBot="1">
      <c r="B188" s="35" t="s">
        <v>341</v>
      </c>
      <c r="C188" s="36" t="s">
        <v>14</v>
      </c>
      <c r="D188" s="35" t="s">
        <v>69</v>
      </c>
      <c r="E188" s="35" t="s">
        <v>648</v>
      </c>
      <c r="F188" s="35" t="s">
        <v>872</v>
      </c>
      <c r="G188" s="35" t="s">
        <v>869</v>
      </c>
      <c r="H188" s="35" t="s">
        <v>870</v>
      </c>
    </row>
    <row r="189" spans="2:8" ht="103.5" thickBot="1">
      <c r="B189" s="35" t="s">
        <v>634</v>
      </c>
      <c r="C189" s="36" t="s">
        <v>997</v>
      </c>
      <c r="D189" s="35" t="s">
        <v>620</v>
      </c>
      <c r="E189" s="35" t="s">
        <v>644</v>
      </c>
      <c r="F189" s="35" t="s">
        <v>872</v>
      </c>
      <c r="G189" s="35"/>
      <c r="H189" s="35" t="s">
        <v>998</v>
      </c>
    </row>
    <row r="190" spans="2:8" ht="52.5" thickBot="1">
      <c r="B190" s="35" t="s">
        <v>340</v>
      </c>
      <c r="C190" s="36" t="s">
        <v>8</v>
      </c>
      <c r="D190" s="35" t="s">
        <v>68</v>
      </c>
      <c r="E190" s="35" t="s">
        <v>658</v>
      </c>
      <c r="F190" s="35" t="s">
        <v>872</v>
      </c>
      <c r="G190" s="35"/>
      <c r="H190" s="35"/>
    </row>
    <row r="191" spans="2:8" ht="78" thickBot="1">
      <c r="B191" s="35" t="s">
        <v>633</v>
      </c>
      <c r="C191" s="35" t="s">
        <v>999</v>
      </c>
      <c r="D191" s="35" t="s">
        <v>619</v>
      </c>
      <c r="E191" s="35" t="s">
        <v>1000</v>
      </c>
      <c r="F191" s="35"/>
      <c r="G191" s="35"/>
      <c r="H191" s="35"/>
    </row>
    <row r="192" spans="2:8" ht="52.5" thickBot="1">
      <c r="B192" s="35" t="s">
        <v>339</v>
      </c>
      <c r="C192" s="35" t="s">
        <v>4</v>
      </c>
      <c r="D192" s="35" t="s">
        <v>67</v>
      </c>
      <c r="E192" s="35" t="s">
        <v>648</v>
      </c>
      <c r="F192" s="35" t="s">
        <v>1219</v>
      </c>
      <c r="G192" s="35" t="s">
        <v>1220</v>
      </c>
      <c r="H192" s="35" t="s">
        <v>1221</v>
      </c>
    </row>
    <row r="193" spans="2:8" ht="90.75" thickBot="1">
      <c r="B193" s="35" t="s">
        <v>632</v>
      </c>
      <c r="C193" s="35" t="s">
        <v>1001</v>
      </c>
      <c r="D193" s="35" t="s">
        <v>621</v>
      </c>
      <c r="E193" s="35" t="s">
        <v>1002</v>
      </c>
      <c r="F193" s="35"/>
      <c r="G193" s="35"/>
      <c r="H193" s="35"/>
    </row>
    <row r="194" spans="2:8" ht="52.5" thickBot="1">
      <c r="B194" s="35" t="s">
        <v>1147</v>
      </c>
      <c r="C194" s="35"/>
      <c r="D194" s="35" t="s">
        <v>1146</v>
      </c>
      <c r="E194" s="35" t="s">
        <v>658</v>
      </c>
      <c r="F194" s="35" t="s">
        <v>985</v>
      </c>
      <c r="G194" s="35" t="s">
        <v>935</v>
      </c>
      <c r="H194" s="35" t="s">
        <v>1003</v>
      </c>
    </row>
    <row r="195" spans="2:8" ht="52.5" thickBot="1">
      <c r="B195" s="35" t="s">
        <v>399</v>
      </c>
      <c r="C195" s="35"/>
      <c r="D195" s="35" t="s">
        <v>525</v>
      </c>
      <c r="E195" s="35" t="s">
        <v>659</v>
      </c>
      <c r="F195" s="35" t="s">
        <v>934</v>
      </c>
      <c r="G195" s="35" t="s">
        <v>935</v>
      </c>
      <c r="H195" s="35" t="s">
        <v>1003</v>
      </c>
    </row>
    <row r="196" spans="2:8" ht="52.5" thickBot="1">
      <c r="B196" s="35" t="s">
        <v>400</v>
      </c>
      <c r="C196" s="35"/>
      <c r="D196" s="35" t="s">
        <v>526</v>
      </c>
      <c r="E196" s="35" t="s">
        <v>660</v>
      </c>
      <c r="F196" s="35"/>
      <c r="G196" s="35" t="s">
        <v>1217</v>
      </c>
      <c r="H196" s="35" t="s">
        <v>1222</v>
      </c>
    </row>
    <row r="197" spans="2:8" ht="52.5" thickBot="1">
      <c r="B197" s="35" t="s">
        <v>401</v>
      </c>
      <c r="C197" s="35"/>
      <c r="D197" s="35" t="s">
        <v>527</v>
      </c>
      <c r="E197" s="35" t="s">
        <v>661</v>
      </c>
      <c r="F197" s="35"/>
      <c r="G197" s="35" t="s">
        <v>935</v>
      </c>
      <c r="H197" s="35" t="s">
        <v>1003</v>
      </c>
    </row>
    <row r="198" spans="2:8" ht="52.5" thickBot="1">
      <c r="B198" s="35" t="s">
        <v>402</v>
      </c>
      <c r="C198" s="35"/>
      <c r="D198" s="35" t="s">
        <v>528</v>
      </c>
      <c r="E198" s="35" t="s">
        <v>659</v>
      </c>
      <c r="F198" s="35" t="s">
        <v>934</v>
      </c>
      <c r="G198" s="35" t="s">
        <v>935</v>
      </c>
      <c r="H198" s="35" t="s">
        <v>1003</v>
      </c>
    </row>
    <row r="199" spans="2:8" ht="52.5" thickBot="1">
      <c r="B199" s="35" t="s">
        <v>403</v>
      </c>
      <c r="C199" s="35"/>
      <c r="D199" s="35" t="s">
        <v>529</v>
      </c>
      <c r="E199" s="35" t="s">
        <v>660</v>
      </c>
      <c r="F199" s="35"/>
      <c r="G199" s="35" t="s">
        <v>935</v>
      </c>
      <c r="H199" s="35" t="s">
        <v>1003</v>
      </c>
    </row>
    <row r="200" spans="2:8" ht="52.5" thickBot="1">
      <c r="B200" s="35" t="s">
        <v>404</v>
      </c>
      <c r="C200" s="35"/>
      <c r="D200" s="35" t="s">
        <v>167</v>
      </c>
      <c r="E200" s="35" t="s">
        <v>648</v>
      </c>
      <c r="F200" s="35" t="s">
        <v>930</v>
      </c>
      <c r="G200" s="35" t="s">
        <v>935</v>
      </c>
      <c r="H200" s="35" t="s">
        <v>1003</v>
      </c>
    </row>
    <row r="201" spans="2:8" ht="52.5" thickBot="1">
      <c r="B201" s="35" t="s">
        <v>405</v>
      </c>
      <c r="C201" s="35"/>
      <c r="D201" s="35" t="s">
        <v>530</v>
      </c>
      <c r="E201" s="35" t="s">
        <v>661</v>
      </c>
      <c r="F201" s="35"/>
      <c r="G201" s="35" t="s">
        <v>935</v>
      </c>
      <c r="H201" s="35" t="s">
        <v>1003</v>
      </c>
    </row>
    <row r="202" spans="2:8" ht="52.5" thickBot="1">
      <c r="B202" s="35" t="s">
        <v>406</v>
      </c>
      <c r="C202" s="35"/>
      <c r="D202" s="35" t="s">
        <v>984</v>
      </c>
      <c r="E202" s="35" t="s">
        <v>658</v>
      </c>
      <c r="F202" s="35" t="s">
        <v>985</v>
      </c>
      <c r="G202" s="35" t="s">
        <v>935</v>
      </c>
      <c r="H202" s="35" t="s">
        <v>1003</v>
      </c>
    </row>
    <row r="203" spans="2:8" ht="52.5" thickBot="1">
      <c r="B203" s="35" t="s">
        <v>407</v>
      </c>
      <c r="C203" s="35"/>
      <c r="D203" s="35" t="s">
        <v>531</v>
      </c>
      <c r="E203" s="35" t="s">
        <v>658</v>
      </c>
      <c r="F203" s="35" t="s">
        <v>1004</v>
      </c>
      <c r="G203" s="35" t="s">
        <v>935</v>
      </c>
      <c r="H203" s="35" t="s">
        <v>1003</v>
      </c>
    </row>
    <row r="204" spans="2:8" ht="27" thickBot="1">
      <c r="B204" s="35" t="s">
        <v>408</v>
      </c>
      <c r="C204" s="36"/>
      <c r="D204" s="35" t="s">
        <v>168</v>
      </c>
      <c r="E204" s="35" t="s">
        <v>662</v>
      </c>
      <c r="F204" s="35"/>
      <c r="G204" s="35"/>
      <c r="H204" s="35"/>
    </row>
    <row r="205" spans="2:8" ht="27" thickBot="1">
      <c r="B205" s="35" t="s">
        <v>409</v>
      </c>
      <c r="C205" s="36"/>
      <c r="D205" s="35" t="s">
        <v>170</v>
      </c>
      <c r="E205" s="35"/>
      <c r="F205" s="35"/>
      <c r="G205" s="35"/>
      <c r="H205" s="35"/>
    </row>
    <row r="206" spans="2:8" ht="27" thickBot="1">
      <c r="B206" s="35" t="s">
        <v>410</v>
      </c>
      <c r="C206" s="35"/>
      <c r="D206" s="35" t="s">
        <v>169</v>
      </c>
      <c r="E206" s="35" t="s">
        <v>663</v>
      </c>
      <c r="F206" s="35"/>
      <c r="G206" s="35"/>
      <c r="H206" s="35"/>
    </row>
    <row r="207" spans="2:8" ht="90.75" thickBot="1">
      <c r="B207" s="35" t="s">
        <v>858</v>
      </c>
      <c r="C207" s="36" t="s">
        <v>1010</v>
      </c>
      <c r="D207" s="35" t="s">
        <v>1011</v>
      </c>
      <c r="E207" s="35" t="s">
        <v>867</v>
      </c>
      <c r="F207" s="35" t="s">
        <v>1012</v>
      </c>
      <c r="G207" s="35" t="s">
        <v>1013</v>
      </c>
      <c r="H207" s="35" t="s">
        <v>1014</v>
      </c>
    </row>
    <row r="208" spans="2:8" ht="39.75" thickBot="1">
      <c r="B208" s="35" t="s">
        <v>411</v>
      </c>
      <c r="C208" s="35"/>
      <c r="D208" s="35" t="s">
        <v>171</v>
      </c>
      <c r="E208" s="35" t="s">
        <v>664</v>
      </c>
      <c r="F208" s="35"/>
      <c r="G208" s="35" t="s">
        <v>869</v>
      </c>
      <c r="H208" s="35" t="s">
        <v>870</v>
      </c>
    </row>
    <row r="209" spans="2:8" ht="52.5" thickBot="1">
      <c r="B209" s="35" t="s">
        <v>412</v>
      </c>
      <c r="C209" s="35"/>
      <c r="D209" s="35" t="s">
        <v>172</v>
      </c>
      <c r="E209" s="35" t="s">
        <v>664</v>
      </c>
      <c r="F209" s="35" t="s">
        <v>1005</v>
      </c>
      <c r="G209" s="35" t="s">
        <v>1006</v>
      </c>
      <c r="H209" s="35"/>
    </row>
    <row r="210" spans="2:8" ht="27" thickBot="1">
      <c r="B210" s="35" t="s">
        <v>413</v>
      </c>
      <c r="C210" s="35"/>
      <c r="D210" s="35" t="s">
        <v>173</v>
      </c>
      <c r="E210" s="35" t="s">
        <v>665</v>
      </c>
      <c r="F210" s="35"/>
      <c r="G210" s="35"/>
      <c r="H210" s="35"/>
    </row>
    <row r="211" spans="2:8" ht="52.5" thickBot="1">
      <c r="B211" s="35" t="s">
        <v>414</v>
      </c>
      <c r="C211" s="35"/>
      <c r="D211" s="35" t="s">
        <v>666</v>
      </c>
      <c r="E211" s="35" t="s">
        <v>640</v>
      </c>
      <c r="F211" s="35" t="s">
        <v>1007</v>
      </c>
      <c r="G211" s="35" t="s">
        <v>869</v>
      </c>
      <c r="H211" s="35" t="s">
        <v>870</v>
      </c>
    </row>
    <row r="212" spans="2:8" ht="27" thickBot="1">
      <c r="B212" s="35" t="s">
        <v>415</v>
      </c>
      <c r="C212" s="35"/>
      <c r="D212" s="35" t="s">
        <v>533</v>
      </c>
      <c r="E212" s="35" t="s">
        <v>667</v>
      </c>
      <c r="F212" s="35"/>
      <c r="G212" s="35"/>
      <c r="H212" s="35"/>
    </row>
    <row r="213" spans="2:8" ht="27" thickBot="1">
      <c r="B213" s="35" t="s">
        <v>416</v>
      </c>
      <c r="C213" s="35"/>
      <c r="D213" s="35" t="s">
        <v>174</v>
      </c>
      <c r="E213" s="35" t="s">
        <v>668</v>
      </c>
      <c r="F213" s="35"/>
      <c r="G213" s="35"/>
      <c r="H213" s="35"/>
    </row>
    <row r="214" spans="2:8" ht="39.75" thickBot="1">
      <c r="B214" s="35" t="s">
        <v>417</v>
      </c>
      <c r="C214" s="35" t="s">
        <v>13</v>
      </c>
      <c r="D214" s="35" t="s">
        <v>175</v>
      </c>
      <c r="E214" s="35" t="s">
        <v>669</v>
      </c>
      <c r="F214" s="35"/>
      <c r="G214" s="35" t="s">
        <v>869</v>
      </c>
      <c r="H214" s="35" t="s">
        <v>870</v>
      </c>
    </row>
    <row r="215" spans="2:8" ht="45.75" thickBot="1">
      <c r="B215" s="35" t="s">
        <v>418</v>
      </c>
      <c r="C215" s="36" t="s">
        <v>1193</v>
      </c>
      <c r="D215" s="35" t="s">
        <v>176</v>
      </c>
      <c r="E215" s="35" t="s">
        <v>669</v>
      </c>
      <c r="F215" s="35"/>
      <c r="G215" s="35" t="s">
        <v>869</v>
      </c>
      <c r="H215" s="35" t="s">
        <v>870</v>
      </c>
    </row>
    <row r="216" spans="2:8" ht="52.5" thickBot="1">
      <c r="B216" s="35" t="s">
        <v>419</v>
      </c>
      <c r="C216" s="36"/>
      <c r="D216" s="35" t="s">
        <v>177</v>
      </c>
      <c r="E216" s="35"/>
      <c r="F216" s="35"/>
      <c r="G216" s="35" t="s">
        <v>1215</v>
      </c>
      <c r="H216" s="35" t="s">
        <v>1216</v>
      </c>
    </row>
    <row r="217" spans="2:8" ht="52.5" thickBot="1">
      <c r="B217" s="35" t="s">
        <v>420</v>
      </c>
      <c r="C217" s="36"/>
      <c r="D217" s="35" t="s">
        <v>532</v>
      </c>
      <c r="E217" s="35" t="s">
        <v>640</v>
      </c>
      <c r="F217" s="35" t="s">
        <v>1223</v>
      </c>
      <c r="G217" s="35" t="s">
        <v>1215</v>
      </c>
      <c r="H217" s="35" t="s">
        <v>1216</v>
      </c>
    </row>
    <row r="218" spans="2:8" ht="52.5" thickBot="1">
      <c r="B218" s="35" t="s">
        <v>421</v>
      </c>
      <c r="C218" s="35"/>
      <c r="D218" s="35" t="s">
        <v>178</v>
      </c>
      <c r="E218" s="35" t="s">
        <v>640</v>
      </c>
      <c r="F218" s="35"/>
      <c r="G218" s="35"/>
      <c r="H218" s="35"/>
    </row>
    <row r="219" spans="2:8" ht="27" thickBot="1">
      <c r="B219" s="35" t="s">
        <v>422</v>
      </c>
      <c r="C219" s="35"/>
      <c r="D219" s="35" t="s">
        <v>179</v>
      </c>
      <c r="E219" s="35" t="s">
        <v>665</v>
      </c>
      <c r="F219" s="35"/>
      <c r="G219" s="35"/>
      <c r="H219" s="35"/>
    </row>
    <row r="220" spans="2:8" ht="52.5" thickBot="1">
      <c r="B220" s="35" t="s">
        <v>423</v>
      </c>
      <c r="C220" s="36"/>
      <c r="D220" s="35" t="s">
        <v>183</v>
      </c>
      <c r="E220" s="35" t="s">
        <v>670</v>
      </c>
      <c r="F220" s="35"/>
      <c r="G220" s="35"/>
      <c r="H220" s="35"/>
    </row>
    <row r="221" spans="2:8" ht="78" thickBot="1">
      <c r="B221" s="35" t="s">
        <v>805</v>
      </c>
      <c r="C221" s="36" t="s">
        <v>1015</v>
      </c>
      <c r="D221" s="35" t="s">
        <v>183</v>
      </c>
      <c r="E221" s="35" t="s">
        <v>867</v>
      </c>
      <c r="F221" s="35"/>
      <c r="G221" s="35"/>
      <c r="H221" s="35"/>
    </row>
    <row r="222" spans="2:8" ht="27" thickBot="1">
      <c r="B222" s="35" t="s">
        <v>424</v>
      </c>
      <c r="C222" s="35"/>
      <c r="D222" s="35" t="s">
        <v>184</v>
      </c>
      <c r="E222" s="35" t="s">
        <v>651</v>
      </c>
      <c r="F222" s="35"/>
      <c r="G222" s="35"/>
      <c r="H222" s="35"/>
    </row>
    <row r="223" spans="2:8" ht="52.5" thickBot="1">
      <c r="B223" s="35" t="s">
        <v>431</v>
      </c>
      <c r="C223" s="36"/>
      <c r="D223" s="35" t="s">
        <v>535</v>
      </c>
      <c r="E223" s="35" t="s">
        <v>672</v>
      </c>
      <c r="F223" s="35" t="s">
        <v>1008</v>
      </c>
      <c r="G223" s="35" t="s">
        <v>1009</v>
      </c>
      <c r="H223" s="35"/>
    </row>
    <row r="224" spans="2:8" ht="78" thickBot="1">
      <c r="B224" s="35" t="s">
        <v>807</v>
      </c>
      <c r="C224" s="36"/>
      <c r="D224" s="35" t="s">
        <v>843</v>
      </c>
      <c r="E224" s="35" t="s">
        <v>867</v>
      </c>
      <c r="F224" s="35" t="s">
        <v>1008</v>
      </c>
      <c r="G224" s="35" t="s">
        <v>1009</v>
      </c>
      <c r="H224" s="35"/>
    </row>
    <row r="225" spans="2:8" ht="78" thickBot="1">
      <c r="B225" s="35" t="s">
        <v>767</v>
      </c>
      <c r="C225" s="36" t="s">
        <v>1016</v>
      </c>
      <c r="D225" s="35" t="s">
        <v>768</v>
      </c>
      <c r="E225" s="35" t="s">
        <v>660</v>
      </c>
      <c r="F225" s="35"/>
      <c r="G225" s="35"/>
      <c r="H225" s="35" t="s">
        <v>1017</v>
      </c>
    </row>
    <row r="226" spans="2:8" ht="78" thickBot="1">
      <c r="B226" s="35" t="s">
        <v>806</v>
      </c>
      <c r="C226" s="36" t="s">
        <v>1018</v>
      </c>
      <c r="D226" s="35" t="s">
        <v>184</v>
      </c>
      <c r="E226" s="35" t="s">
        <v>867</v>
      </c>
      <c r="F226" s="35"/>
      <c r="G226" s="35"/>
      <c r="H226" s="35"/>
    </row>
    <row r="227" spans="2:8" ht="15.75" thickBot="1">
      <c r="B227" s="35" t="s">
        <v>426</v>
      </c>
      <c r="C227" s="35"/>
      <c r="D227" s="35" t="s">
        <v>186</v>
      </c>
      <c r="E227" s="35"/>
      <c r="F227" s="35"/>
      <c r="G227" s="35"/>
      <c r="H227" s="35"/>
    </row>
    <row r="228" spans="2:8" ht="39.75" thickBot="1">
      <c r="B228" s="35" t="s">
        <v>430</v>
      </c>
      <c r="C228" s="35"/>
      <c r="D228" s="35" t="s">
        <v>534</v>
      </c>
      <c r="E228" s="35" t="s">
        <v>672</v>
      </c>
      <c r="F228" s="35"/>
      <c r="G228" s="35" t="s">
        <v>869</v>
      </c>
      <c r="H228" s="35" t="s">
        <v>870</v>
      </c>
    </row>
    <row r="229" spans="2:8" ht="78" thickBot="1">
      <c r="B229" s="35" t="s">
        <v>795</v>
      </c>
      <c r="C229" s="36" t="s">
        <v>1019</v>
      </c>
      <c r="D229" s="35" t="s">
        <v>1020</v>
      </c>
      <c r="E229" s="35" t="s">
        <v>821</v>
      </c>
      <c r="F229" s="35"/>
      <c r="G229" s="35"/>
      <c r="H229" s="35" t="s">
        <v>1021</v>
      </c>
    </row>
    <row r="230" spans="2:8" ht="52.5" thickBot="1">
      <c r="B230" s="35" t="s">
        <v>436</v>
      </c>
      <c r="C230" s="36" t="s">
        <v>35</v>
      </c>
      <c r="D230" s="35" t="s">
        <v>1194</v>
      </c>
      <c r="E230" s="35" t="s">
        <v>658</v>
      </c>
      <c r="F230" s="35" t="s">
        <v>1022</v>
      </c>
      <c r="G230" s="35" t="s">
        <v>1195</v>
      </c>
      <c r="H230" s="35"/>
    </row>
    <row r="231" spans="2:8" ht="27" thickBot="1">
      <c r="B231" s="35" t="s">
        <v>445</v>
      </c>
      <c r="C231" s="35"/>
      <c r="D231" s="35" t="s">
        <v>194</v>
      </c>
      <c r="E231" s="35" t="s">
        <v>676</v>
      </c>
      <c r="F231" s="35"/>
      <c r="G231" s="35"/>
      <c r="H231" s="35"/>
    </row>
    <row r="232" spans="2:8" ht="78" thickBot="1">
      <c r="B232" s="35" t="s">
        <v>753</v>
      </c>
      <c r="C232" s="35" t="s">
        <v>1023</v>
      </c>
      <c r="D232" s="35" t="s">
        <v>191</v>
      </c>
      <c r="E232" s="35" t="s">
        <v>1024</v>
      </c>
      <c r="F232" s="35"/>
      <c r="G232" s="35"/>
      <c r="H232" s="35"/>
    </row>
    <row r="233" spans="2:8" ht="52.5" thickBot="1">
      <c r="B233" s="35" t="s">
        <v>432</v>
      </c>
      <c r="C233" s="35"/>
      <c r="D233" s="35" t="s">
        <v>190</v>
      </c>
      <c r="E233" s="35" t="s">
        <v>818</v>
      </c>
      <c r="F233" s="35"/>
      <c r="G233" s="35" t="s">
        <v>869</v>
      </c>
      <c r="H233" s="35" t="s">
        <v>870</v>
      </c>
    </row>
    <row r="234" spans="2:8" ht="103.5" thickBot="1">
      <c r="B234" s="35" t="s">
        <v>796</v>
      </c>
      <c r="C234" s="35" t="s">
        <v>1025</v>
      </c>
      <c r="D234" s="35" t="s">
        <v>190</v>
      </c>
      <c r="E234" s="35" t="s">
        <v>822</v>
      </c>
      <c r="F234" s="35"/>
      <c r="G234" s="35"/>
      <c r="H234" s="35" t="s">
        <v>1026</v>
      </c>
    </row>
    <row r="235" spans="2:8" ht="52.5" thickBot="1">
      <c r="B235" s="35" t="s">
        <v>433</v>
      </c>
      <c r="C235" s="35"/>
      <c r="D235" s="35" t="s">
        <v>536</v>
      </c>
      <c r="E235" s="35" t="s">
        <v>818</v>
      </c>
      <c r="F235" s="35"/>
      <c r="G235" s="35" t="s">
        <v>869</v>
      </c>
      <c r="H235" s="35" t="s">
        <v>870</v>
      </c>
    </row>
    <row r="236" spans="2:8" ht="78" thickBot="1">
      <c r="B236" s="35" t="s">
        <v>769</v>
      </c>
      <c r="C236" s="35" t="s">
        <v>1027</v>
      </c>
      <c r="D236" s="35" t="s">
        <v>770</v>
      </c>
      <c r="E236" s="35" t="s">
        <v>661</v>
      </c>
      <c r="F236" s="35"/>
      <c r="G236" s="35"/>
      <c r="H236" s="35" t="s">
        <v>1017</v>
      </c>
    </row>
    <row r="237" spans="2:8" ht="27" thickBot="1">
      <c r="B237" s="35" t="s">
        <v>434</v>
      </c>
      <c r="C237" s="36"/>
      <c r="D237" s="35" t="s">
        <v>195</v>
      </c>
      <c r="E237" s="35" t="s">
        <v>641</v>
      </c>
      <c r="F237" s="35"/>
      <c r="G237" s="35"/>
      <c r="H237" s="35"/>
    </row>
    <row r="238" spans="2:8" ht="27" thickBot="1">
      <c r="B238" s="35" t="s">
        <v>435</v>
      </c>
      <c r="C238" s="36"/>
      <c r="D238" s="35" t="s">
        <v>537</v>
      </c>
      <c r="E238" s="35" t="s">
        <v>641</v>
      </c>
      <c r="F238" s="35"/>
      <c r="G238" s="35"/>
      <c r="H238" s="35"/>
    </row>
    <row r="239" spans="2:8" ht="65.25" thickBot="1">
      <c r="B239" s="35" t="s">
        <v>437</v>
      </c>
      <c r="C239" s="35" t="s">
        <v>40</v>
      </c>
      <c r="D239" s="35" t="s">
        <v>182</v>
      </c>
      <c r="E239" s="35" t="s">
        <v>673</v>
      </c>
      <c r="F239" s="35"/>
      <c r="G239" s="35"/>
      <c r="H239" s="35"/>
    </row>
    <row r="240" spans="2:8" ht="65.25" thickBot="1">
      <c r="B240" s="35" t="s">
        <v>538</v>
      </c>
      <c r="C240" s="35" t="s">
        <v>40</v>
      </c>
      <c r="D240" s="35" t="s">
        <v>539</v>
      </c>
      <c r="E240" s="35" t="s">
        <v>673</v>
      </c>
      <c r="F240" s="35"/>
      <c r="G240" s="35" t="s">
        <v>869</v>
      </c>
      <c r="H240" s="35" t="s">
        <v>870</v>
      </c>
    </row>
    <row r="241" spans="2:8" ht="39.75" thickBot="1">
      <c r="B241" s="35" t="s">
        <v>438</v>
      </c>
      <c r="C241" s="36" t="s">
        <v>40</v>
      </c>
      <c r="D241" s="35" t="s">
        <v>181</v>
      </c>
      <c r="E241" s="35" t="s">
        <v>674</v>
      </c>
      <c r="F241" s="35"/>
      <c r="G241" s="35" t="s">
        <v>935</v>
      </c>
      <c r="H241" s="35" t="s">
        <v>936</v>
      </c>
    </row>
    <row r="242" spans="2:8" ht="27" thickBot="1">
      <c r="B242" s="35" t="s">
        <v>439</v>
      </c>
      <c r="C242" s="36"/>
      <c r="D242" s="35" t="s">
        <v>540</v>
      </c>
      <c r="E242" s="35" t="s">
        <v>642</v>
      </c>
      <c r="F242" s="35"/>
      <c r="G242" s="35"/>
      <c r="H242" s="35"/>
    </row>
    <row r="243" spans="2:8" ht="52.5" thickBot="1">
      <c r="B243" s="35" t="s">
        <v>440</v>
      </c>
      <c r="C243" s="36" t="s">
        <v>40</v>
      </c>
      <c r="D243" s="35" t="s">
        <v>180</v>
      </c>
      <c r="E243" s="35" t="s">
        <v>675</v>
      </c>
      <c r="F243" s="35" t="s">
        <v>1028</v>
      </c>
      <c r="G243" s="35" t="s">
        <v>1029</v>
      </c>
      <c r="H243" s="35" t="s">
        <v>1030</v>
      </c>
    </row>
    <row r="244" spans="2:8" ht="39.75" thickBot="1">
      <c r="B244" s="35" t="s">
        <v>441</v>
      </c>
      <c r="C244" s="36"/>
      <c r="D244" s="35" t="s">
        <v>541</v>
      </c>
      <c r="E244" s="35" t="s">
        <v>1238</v>
      </c>
      <c r="F244" s="35"/>
      <c r="G244" s="35" t="s">
        <v>869</v>
      </c>
      <c r="H244" s="35" t="s">
        <v>870</v>
      </c>
    </row>
    <row r="245" spans="2:8" ht="52.5" thickBot="1">
      <c r="B245" s="35" t="s">
        <v>523</v>
      </c>
      <c r="C245" s="36"/>
      <c r="D245" s="35" t="s">
        <v>542</v>
      </c>
      <c r="E245" s="35" t="s">
        <v>643</v>
      </c>
      <c r="F245" s="35" t="s">
        <v>1031</v>
      </c>
      <c r="G245" s="35" t="s">
        <v>869</v>
      </c>
      <c r="H245" s="35" t="s">
        <v>870</v>
      </c>
    </row>
    <row r="246" spans="2:8" ht="15.75" thickBot="1">
      <c r="B246" s="35" t="s">
        <v>443</v>
      </c>
      <c r="C246" s="36"/>
      <c r="D246" s="35" t="s">
        <v>192</v>
      </c>
      <c r="E246" s="35"/>
      <c r="F246" s="35"/>
      <c r="G246" s="35"/>
      <c r="H246" s="35"/>
    </row>
    <row r="247" spans="2:8" ht="27" thickBot="1">
      <c r="B247" s="35" t="s">
        <v>442</v>
      </c>
      <c r="C247" s="36"/>
      <c r="D247" s="35" t="s">
        <v>543</v>
      </c>
      <c r="E247" s="35" t="s">
        <v>641</v>
      </c>
      <c r="F247" s="35"/>
      <c r="G247" s="35"/>
      <c r="H247" s="35"/>
    </row>
    <row r="248" spans="2:8" ht="15.75" thickBot="1">
      <c r="B248" s="35" t="s">
        <v>444</v>
      </c>
      <c r="C248" s="36"/>
      <c r="D248" s="35" t="s">
        <v>193</v>
      </c>
      <c r="E248" s="35"/>
      <c r="F248" s="35"/>
      <c r="G248" s="35"/>
      <c r="H248" s="35"/>
    </row>
    <row r="249" spans="2:8" ht="52.5" thickBot="1">
      <c r="B249" s="35" t="s">
        <v>427</v>
      </c>
      <c r="C249" s="36"/>
      <c r="D249" s="35" t="s">
        <v>188</v>
      </c>
      <c r="E249" s="35" t="s">
        <v>671</v>
      </c>
      <c r="F249" s="35" t="s">
        <v>1032</v>
      </c>
      <c r="G249" s="35"/>
      <c r="H249" s="35"/>
    </row>
    <row r="250" spans="2:8" ht="27" thickBot="1">
      <c r="B250" s="35" t="s">
        <v>458</v>
      </c>
      <c r="C250" s="35"/>
      <c r="D250" s="35" t="s">
        <v>203</v>
      </c>
      <c r="E250" s="35" t="s">
        <v>680</v>
      </c>
      <c r="F250" s="35"/>
      <c r="G250" s="35" t="s">
        <v>1033</v>
      </c>
      <c r="H250" s="35"/>
    </row>
    <row r="251" spans="2:8" ht="52.5" thickBot="1">
      <c r="B251" s="35" t="s">
        <v>428</v>
      </c>
      <c r="C251" s="35"/>
      <c r="D251" s="35" t="s">
        <v>189</v>
      </c>
      <c r="E251" s="35" t="s">
        <v>671</v>
      </c>
      <c r="F251" s="35" t="s">
        <v>1032</v>
      </c>
      <c r="G251" s="35" t="s">
        <v>1034</v>
      </c>
      <c r="H251" s="35" t="s">
        <v>1035</v>
      </c>
    </row>
    <row r="252" spans="2:8" ht="52.5" thickBot="1">
      <c r="B252" s="35" t="s">
        <v>544</v>
      </c>
      <c r="C252" s="36"/>
      <c r="D252" s="35" t="s">
        <v>545</v>
      </c>
      <c r="E252" s="35" t="s">
        <v>677</v>
      </c>
      <c r="F252" s="35" t="s">
        <v>1036</v>
      </c>
      <c r="G252" s="35" t="s">
        <v>869</v>
      </c>
      <c r="H252" s="35" t="s">
        <v>870</v>
      </c>
    </row>
    <row r="253" spans="2:8" ht="39.75" thickBot="1">
      <c r="B253" s="35" t="s">
        <v>446</v>
      </c>
      <c r="C253" s="36"/>
      <c r="D253" s="35" t="s">
        <v>196</v>
      </c>
      <c r="E253" s="35" t="s">
        <v>678</v>
      </c>
      <c r="F253" s="35"/>
      <c r="G253" s="35" t="s">
        <v>869</v>
      </c>
      <c r="H253" s="35" t="s">
        <v>870</v>
      </c>
    </row>
    <row r="254" spans="2:8" ht="27" thickBot="1">
      <c r="B254" s="35" t="s">
        <v>447</v>
      </c>
      <c r="C254" s="35"/>
      <c r="D254" s="35" t="s">
        <v>197</v>
      </c>
      <c r="E254" s="35" t="s">
        <v>678</v>
      </c>
      <c r="F254" s="35"/>
      <c r="G254" s="35"/>
      <c r="H254" s="35"/>
    </row>
    <row r="255" spans="2:8" ht="27" thickBot="1">
      <c r="B255" s="35" t="s">
        <v>448</v>
      </c>
      <c r="C255" s="35"/>
      <c r="D255" s="35" t="s">
        <v>546</v>
      </c>
      <c r="E255" s="35"/>
      <c r="F255" s="35"/>
      <c r="G255" s="35"/>
      <c r="H255" s="35"/>
    </row>
    <row r="256" spans="2:8" ht="65.25" thickBot="1">
      <c r="B256" s="35" t="s">
        <v>449</v>
      </c>
      <c r="C256" s="35"/>
      <c r="D256" s="35" t="s">
        <v>547</v>
      </c>
      <c r="E256" s="35" t="s">
        <v>661</v>
      </c>
      <c r="F256" s="35" t="s">
        <v>1037</v>
      </c>
      <c r="G256" s="35" t="s">
        <v>935</v>
      </c>
      <c r="H256" s="35" t="s">
        <v>1003</v>
      </c>
    </row>
    <row r="257" spans="2:8" ht="65.25" thickBot="1">
      <c r="B257" s="35" t="s">
        <v>450</v>
      </c>
      <c r="C257" s="35"/>
      <c r="D257" s="35" t="s">
        <v>548</v>
      </c>
      <c r="E257" s="35" t="s">
        <v>661</v>
      </c>
      <c r="F257" s="35" t="s">
        <v>1037</v>
      </c>
      <c r="G257" s="35" t="s">
        <v>935</v>
      </c>
      <c r="H257" s="35" t="s">
        <v>1003</v>
      </c>
    </row>
    <row r="258" spans="2:8" ht="65.25" thickBot="1">
      <c r="B258" s="35" t="s">
        <v>451</v>
      </c>
      <c r="C258" s="35"/>
      <c r="D258" s="35" t="s">
        <v>198</v>
      </c>
      <c r="E258" s="35" t="s">
        <v>677</v>
      </c>
      <c r="F258" s="35" t="s">
        <v>1038</v>
      </c>
      <c r="G258" s="35" t="s">
        <v>1039</v>
      </c>
      <c r="H258" s="35"/>
    </row>
    <row r="259" spans="2:8" ht="52.5" thickBot="1">
      <c r="B259" s="35" t="s">
        <v>452</v>
      </c>
      <c r="C259" s="35"/>
      <c r="D259" s="35" t="s">
        <v>199</v>
      </c>
      <c r="E259" s="35" t="s">
        <v>677</v>
      </c>
      <c r="F259" s="35" t="s">
        <v>1040</v>
      </c>
      <c r="G259" s="35"/>
      <c r="H259" s="35"/>
    </row>
    <row r="260" spans="2:8" ht="52.5" thickBot="1">
      <c r="B260" s="35" t="s">
        <v>453</v>
      </c>
      <c r="C260" s="35"/>
      <c r="D260" s="35" t="s">
        <v>200</v>
      </c>
      <c r="E260" s="35" t="s">
        <v>677</v>
      </c>
      <c r="F260" s="35"/>
      <c r="G260" s="35"/>
      <c r="H260" s="35"/>
    </row>
    <row r="261" spans="2:8" ht="52.5" thickBot="1">
      <c r="B261" s="35" t="s">
        <v>454</v>
      </c>
      <c r="C261" s="35"/>
      <c r="D261" s="35" t="s">
        <v>201</v>
      </c>
      <c r="E261" s="35" t="s">
        <v>677</v>
      </c>
      <c r="F261" s="35"/>
      <c r="G261" s="35" t="s">
        <v>869</v>
      </c>
      <c r="H261" s="35" t="s">
        <v>870</v>
      </c>
    </row>
    <row r="262" spans="2:8" ht="65.25" thickBot="1">
      <c r="B262" s="35" t="s">
        <v>455</v>
      </c>
      <c r="C262" s="35"/>
      <c r="D262" s="35" t="s">
        <v>549</v>
      </c>
      <c r="E262" s="35" t="s">
        <v>672</v>
      </c>
      <c r="F262" s="35" t="s">
        <v>1037</v>
      </c>
      <c r="G262" s="35" t="s">
        <v>869</v>
      </c>
      <c r="H262" s="35" t="s">
        <v>870</v>
      </c>
    </row>
    <row r="263" spans="2:8" ht="39.75" thickBot="1">
      <c r="B263" s="35" t="s">
        <v>456</v>
      </c>
      <c r="C263" s="35"/>
      <c r="D263" s="35" t="s">
        <v>679</v>
      </c>
      <c r="E263" s="35"/>
      <c r="F263" s="35"/>
      <c r="G263" s="35" t="s">
        <v>869</v>
      </c>
      <c r="H263" s="35" t="s">
        <v>870</v>
      </c>
    </row>
    <row r="264" spans="2:8" ht="78" thickBot="1">
      <c r="B264" s="35" t="s">
        <v>771</v>
      </c>
      <c r="C264" s="35"/>
      <c r="D264" s="35" t="s">
        <v>772</v>
      </c>
      <c r="E264" s="35" t="s">
        <v>661</v>
      </c>
      <c r="F264" s="35" t="s">
        <v>1041</v>
      </c>
      <c r="G264" s="35"/>
      <c r="H264" s="35" t="s">
        <v>1017</v>
      </c>
    </row>
    <row r="265" spans="2:8" ht="52.5" thickBot="1">
      <c r="B265" s="35" t="s">
        <v>457</v>
      </c>
      <c r="C265" s="35"/>
      <c r="D265" s="35" t="s">
        <v>202</v>
      </c>
      <c r="E265" s="35" t="s">
        <v>677</v>
      </c>
      <c r="F265" s="35"/>
      <c r="G265" s="35"/>
      <c r="H265" s="35"/>
    </row>
    <row r="266" spans="2:8" ht="15.75" thickBot="1">
      <c r="B266" s="35" t="s">
        <v>429</v>
      </c>
      <c r="C266" s="35"/>
      <c r="D266" s="35" t="s">
        <v>187</v>
      </c>
      <c r="E266" s="35"/>
      <c r="F266" s="35"/>
      <c r="G266" s="35"/>
      <c r="H266" s="35"/>
    </row>
    <row r="267" spans="2:8" ht="52.5" thickBot="1">
      <c r="B267" s="35" t="s">
        <v>354</v>
      </c>
      <c r="C267" s="36" t="s">
        <v>23</v>
      </c>
      <c r="D267" s="35" t="s">
        <v>66</v>
      </c>
      <c r="E267" s="35" t="s">
        <v>648</v>
      </c>
      <c r="F267" s="35" t="s">
        <v>1042</v>
      </c>
      <c r="G267" s="35" t="s">
        <v>869</v>
      </c>
      <c r="H267" s="35" t="s">
        <v>870</v>
      </c>
    </row>
    <row r="268" spans="2:8" ht="103.5" thickBot="1">
      <c r="B268" s="35" t="s">
        <v>631</v>
      </c>
      <c r="C268" s="36" t="s">
        <v>1043</v>
      </c>
      <c r="D268" s="35" t="s">
        <v>66</v>
      </c>
      <c r="E268" s="35" t="s">
        <v>644</v>
      </c>
      <c r="F268" s="35" t="s">
        <v>1044</v>
      </c>
      <c r="G268" s="35" t="s">
        <v>1045</v>
      </c>
      <c r="H268" s="35" t="s">
        <v>1046</v>
      </c>
    </row>
    <row r="269" spans="2:8" ht="52.5" thickBot="1">
      <c r="B269" s="35" t="s">
        <v>355</v>
      </c>
      <c r="C269" s="35" t="s">
        <v>25</v>
      </c>
      <c r="D269" s="35" t="s">
        <v>592</v>
      </c>
      <c r="E269" s="35" t="s">
        <v>648</v>
      </c>
      <c r="F269" s="35" t="s">
        <v>952</v>
      </c>
      <c r="G269" s="35" t="s">
        <v>1047</v>
      </c>
      <c r="H269" s="35" t="s">
        <v>1048</v>
      </c>
    </row>
    <row r="270" spans="2:8" ht="52.5" thickBot="1">
      <c r="B270" s="35" t="s">
        <v>353</v>
      </c>
      <c r="C270" s="35" t="s">
        <v>15</v>
      </c>
      <c r="D270" s="35" t="s">
        <v>65</v>
      </c>
      <c r="E270" s="35" t="s">
        <v>648</v>
      </c>
      <c r="F270" s="35" t="s">
        <v>1049</v>
      </c>
      <c r="G270" s="35" t="s">
        <v>869</v>
      </c>
      <c r="H270" s="35" t="s">
        <v>870</v>
      </c>
    </row>
    <row r="271" spans="2:8" ht="103.5" thickBot="1">
      <c r="B271" s="35" t="s">
        <v>804</v>
      </c>
      <c r="C271" s="35" t="s">
        <v>1050</v>
      </c>
      <c r="D271" s="35" t="s">
        <v>65</v>
      </c>
      <c r="E271" s="35" t="s">
        <v>644</v>
      </c>
      <c r="F271" s="35" t="s">
        <v>1049</v>
      </c>
      <c r="G271" s="35"/>
      <c r="H271" s="35" t="s">
        <v>1051</v>
      </c>
    </row>
    <row r="272" spans="2:8" ht="65.25" thickBot="1">
      <c r="B272" s="35" t="s">
        <v>356</v>
      </c>
      <c r="C272" s="35" t="s">
        <v>53</v>
      </c>
      <c r="D272" s="35" t="s">
        <v>593</v>
      </c>
      <c r="E272" s="35" t="s">
        <v>658</v>
      </c>
      <c r="F272" s="35" t="s">
        <v>1042</v>
      </c>
      <c r="G272" s="35" t="s">
        <v>1052</v>
      </c>
      <c r="H272" s="35" t="s">
        <v>1053</v>
      </c>
    </row>
    <row r="273" spans="2:8" ht="90.75" thickBot="1">
      <c r="B273" s="35" t="s">
        <v>842</v>
      </c>
      <c r="C273" s="35" t="s">
        <v>1054</v>
      </c>
      <c r="D273" s="35" t="s">
        <v>593</v>
      </c>
      <c r="E273" s="35" t="s">
        <v>1055</v>
      </c>
      <c r="F273" s="35"/>
      <c r="G273" s="35"/>
      <c r="H273" s="35"/>
    </row>
    <row r="274" spans="2:8" ht="52.5" thickBot="1">
      <c r="B274" s="35" t="s">
        <v>350</v>
      </c>
      <c r="C274" s="35" t="s">
        <v>9</v>
      </c>
      <c r="D274" s="35" t="s">
        <v>62</v>
      </c>
      <c r="E274" s="35" t="s">
        <v>658</v>
      </c>
      <c r="F274" s="35" t="s">
        <v>1049</v>
      </c>
      <c r="G274" s="35"/>
      <c r="H274" s="35"/>
    </row>
    <row r="275" spans="2:8" ht="78" thickBot="1">
      <c r="B275" s="35" t="s">
        <v>846</v>
      </c>
      <c r="C275" s="36" t="s">
        <v>1056</v>
      </c>
      <c r="D275" s="35" t="s">
        <v>62</v>
      </c>
      <c r="E275" s="35" t="s">
        <v>1057</v>
      </c>
      <c r="F275" s="35"/>
      <c r="G275" s="35"/>
      <c r="H275" s="35"/>
    </row>
    <row r="276" spans="2:8" ht="52.5" thickBot="1">
      <c r="B276" s="35" t="s">
        <v>351</v>
      </c>
      <c r="C276" s="35" t="s">
        <v>1196</v>
      </c>
      <c r="D276" s="35" t="s">
        <v>63</v>
      </c>
      <c r="E276" s="35" t="s">
        <v>724</v>
      </c>
      <c r="F276" s="35" t="s">
        <v>1042</v>
      </c>
      <c r="G276" s="35" t="s">
        <v>869</v>
      </c>
      <c r="H276" s="35" t="s">
        <v>929</v>
      </c>
    </row>
    <row r="277" spans="2:8" ht="52.5" thickBot="1">
      <c r="B277" s="35" t="s">
        <v>352</v>
      </c>
      <c r="C277" s="35" t="s">
        <v>1197</v>
      </c>
      <c r="D277" s="35" t="s">
        <v>64</v>
      </c>
      <c r="E277" s="35" t="s">
        <v>724</v>
      </c>
      <c r="F277" s="35" t="s">
        <v>1042</v>
      </c>
      <c r="G277" s="35"/>
      <c r="H277" s="35" t="s">
        <v>1058</v>
      </c>
    </row>
    <row r="278" spans="2:8" ht="52.5" thickBot="1">
      <c r="B278" s="35" t="s">
        <v>349</v>
      </c>
      <c r="C278" s="35" t="s">
        <v>5</v>
      </c>
      <c r="D278" s="35" t="s">
        <v>61</v>
      </c>
      <c r="E278" s="35" t="s">
        <v>648</v>
      </c>
      <c r="F278" s="35" t="s">
        <v>1049</v>
      </c>
      <c r="G278" s="35" t="s">
        <v>889</v>
      </c>
      <c r="H278" s="35" t="s">
        <v>1059</v>
      </c>
    </row>
    <row r="279" spans="2:8" ht="90.75" thickBot="1">
      <c r="B279" s="35" t="s">
        <v>845</v>
      </c>
      <c r="C279" s="35" t="s">
        <v>1060</v>
      </c>
      <c r="D279" s="35" t="s">
        <v>61</v>
      </c>
      <c r="E279" s="35" t="s">
        <v>1061</v>
      </c>
      <c r="F279" s="35"/>
      <c r="G279" s="35"/>
      <c r="H279" s="35"/>
    </row>
    <row r="280" spans="2:8" ht="103.5" thickBot="1">
      <c r="B280" s="35" t="s">
        <v>1199</v>
      </c>
      <c r="C280" s="35" t="s">
        <v>1224</v>
      </c>
      <c r="D280" s="35" t="s">
        <v>1200</v>
      </c>
      <c r="E280" s="35" t="s">
        <v>644</v>
      </c>
      <c r="F280" s="35" t="s">
        <v>1068</v>
      </c>
      <c r="G280" s="35"/>
      <c r="H280" s="35" t="s">
        <v>1201</v>
      </c>
    </row>
    <row r="281" spans="2:8" ht="52.5" thickBot="1">
      <c r="B281" s="35" t="s">
        <v>481</v>
      </c>
      <c r="C281" s="35"/>
      <c r="D281" s="35" t="s">
        <v>79</v>
      </c>
      <c r="E281" s="35" t="s">
        <v>648</v>
      </c>
      <c r="F281" s="35" t="s">
        <v>686</v>
      </c>
      <c r="G281" s="35" t="s">
        <v>869</v>
      </c>
      <c r="H281" s="35" t="s">
        <v>870</v>
      </c>
    </row>
    <row r="282" spans="2:8" ht="103.5" thickBot="1">
      <c r="B282" s="35" t="s">
        <v>832</v>
      </c>
      <c r="C282" s="35" t="s">
        <v>1070</v>
      </c>
      <c r="D282" s="35" t="s">
        <v>79</v>
      </c>
      <c r="E282" s="35" t="s">
        <v>844</v>
      </c>
      <c r="F282" s="35"/>
      <c r="G282" s="35"/>
      <c r="H282" s="35" t="s">
        <v>1071</v>
      </c>
    </row>
    <row r="283" spans="2:8" ht="103.5" thickBot="1">
      <c r="B283" s="35" t="s">
        <v>788</v>
      </c>
      <c r="C283" s="36" t="s">
        <v>1072</v>
      </c>
      <c r="D283" s="35" t="s">
        <v>76</v>
      </c>
      <c r="E283" s="35" t="s">
        <v>644</v>
      </c>
      <c r="F283" s="35" t="s">
        <v>1073</v>
      </c>
      <c r="G283" s="35" t="s">
        <v>1074</v>
      </c>
      <c r="H283" s="35" t="s">
        <v>1075</v>
      </c>
    </row>
    <row r="284" spans="2:8" ht="52.5" thickBot="1">
      <c r="B284" s="35" t="s">
        <v>482</v>
      </c>
      <c r="C284" s="36"/>
      <c r="D284" s="35" t="s">
        <v>681</v>
      </c>
      <c r="E284" s="35" t="s">
        <v>682</v>
      </c>
      <c r="F284" s="35" t="s">
        <v>1062</v>
      </c>
      <c r="G284" s="35" t="s">
        <v>869</v>
      </c>
      <c r="H284" s="35" t="s">
        <v>870</v>
      </c>
    </row>
    <row r="285" spans="2:8" ht="52.5" thickBot="1">
      <c r="B285" s="35" t="s">
        <v>483</v>
      </c>
      <c r="C285" s="36"/>
      <c r="D285" s="35" t="s">
        <v>553</v>
      </c>
      <c r="E285" s="35" t="s">
        <v>648</v>
      </c>
      <c r="F285" s="35" t="s">
        <v>684</v>
      </c>
      <c r="G285" s="35" t="s">
        <v>869</v>
      </c>
      <c r="H285" s="35" t="s">
        <v>870</v>
      </c>
    </row>
    <row r="286" spans="2:8" ht="27" thickBot="1">
      <c r="B286" s="35" t="s">
        <v>484</v>
      </c>
      <c r="C286" s="35"/>
      <c r="D286" s="35" t="s">
        <v>683</v>
      </c>
      <c r="E286" s="35" t="s">
        <v>684</v>
      </c>
      <c r="F286" s="35" t="s">
        <v>995</v>
      </c>
      <c r="G286" s="35"/>
      <c r="H286" s="35"/>
    </row>
    <row r="287" spans="2:8" ht="78" thickBot="1">
      <c r="B287" s="35" t="s">
        <v>836</v>
      </c>
      <c r="C287" s="35" t="s">
        <v>1076</v>
      </c>
      <c r="D287" s="35" t="s">
        <v>837</v>
      </c>
      <c r="E287" s="35" t="s">
        <v>1077</v>
      </c>
      <c r="F287" s="35"/>
      <c r="G287" s="35"/>
      <c r="H287" s="35"/>
    </row>
    <row r="288" spans="2:8" ht="52.5" thickBot="1">
      <c r="B288" s="35" t="s">
        <v>485</v>
      </c>
      <c r="C288" s="35"/>
      <c r="D288" s="35" t="s">
        <v>685</v>
      </c>
      <c r="E288" s="35" t="s">
        <v>686</v>
      </c>
      <c r="F288" s="35" t="s">
        <v>1219</v>
      </c>
      <c r="G288" s="35" t="s">
        <v>1215</v>
      </c>
      <c r="H288" s="35" t="s">
        <v>1216</v>
      </c>
    </row>
    <row r="289" spans="2:8" ht="103.5" thickBot="1">
      <c r="B289" s="35" t="s">
        <v>793</v>
      </c>
      <c r="C289" s="35" t="s">
        <v>1078</v>
      </c>
      <c r="D289" s="35" t="s">
        <v>794</v>
      </c>
      <c r="E289" s="35" t="s">
        <v>644</v>
      </c>
      <c r="F289" s="35" t="s">
        <v>1225</v>
      </c>
      <c r="G289" s="35" t="s">
        <v>1219</v>
      </c>
      <c r="H289" s="35" t="s">
        <v>1226</v>
      </c>
    </row>
    <row r="290" spans="2:8" ht="52.5" thickBot="1">
      <c r="B290" s="35" t="s">
        <v>487</v>
      </c>
      <c r="C290" s="35"/>
      <c r="D290" s="35" t="s">
        <v>688</v>
      </c>
      <c r="E290" s="35" t="s">
        <v>689</v>
      </c>
      <c r="F290" s="35" t="s">
        <v>1227</v>
      </c>
      <c r="G290" s="35" t="s">
        <v>1228</v>
      </c>
      <c r="H290" s="35" t="s">
        <v>1229</v>
      </c>
    </row>
    <row r="291" spans="2:8" ht="90.75" thickBot="1">
      <c r="B291" s="35" t="s">
        <v>488</v>
      </c>
      <c r="C291" s="35"/>
      <c r="D291" s="35" t="s">
        <v>690</v>
      </c>
      <c r="E291" s="35" t="s">
        <v>689</v>
      </c>
      <c r="F291" s="35" t="s">
        <v>1205</v>
      </c>
      <c r="G291" s="35" t="s">
        <v>1217</v>
      </c>
      <c r="H291" s="35" t="s">
        <v>1218</v>
      </c>
    </row>
    <row r="292" spans="2:8" ht="52.5" thickBot="1">
      <c r="B292" s="35" t="s">
        <v>492</v>
      </c>
      <c r="C292" s="35"/>
      <c r="D292" s="35" t="s">
        <v>80</v>
      </c>
      <c r="E292" s="35" t="s">
        <v>648</v>
      </c>
      <c r="F292" s="35" t="s">
        <v>686</v>
      </c>
      <c r="G292" s="35" t="s">
        <v>881</v>
      </c>
      <c r="H292" s="35"/>
    </row>
    <row r="293" spans="2:8" ht="52.5" thickBot="1">
      <c r="B293" s="35" t="s">
        <v>493</v>
      </c>
      <c r="C293" s="35"/>
      <c r="D293" s="35" t="s">
        <v>695</v>
      </c>
      <c r="E293" s="35" t="s">
        <v>648</v>
      </c>
      <c r="F293" s="35" t="s">
        <v>1063</v>
      </c>
      <c r="G293" s="35" t="s">
        <v>1064</v>
      </c>
      <c r="H293" s="35" t="s">
        <v>1065</v>
      </c>
    </row>
    <row r="294" spans="2:8" ht="52.5" thickBot="1">
      <c r="B294" s="35" t="s">
        <v>494</v>
      </c>
      <c r="C294" s="35"/>
      <c r="D294" s="35" t="s">
        <v>696</v>
      </c>
      <c r="E294" s="35" t="s">
        <v>648</v>
      </c>
      <c r="F294" s="35" t="s">
        <v>1062</v>
      </c>
      <c r="G294" s="35" t="s">
        <v>881</v>
      </c>
      <c r="H294" s="35" t="s">
        <v>1065</v>
      </c>
    </row>
    <row r="295" spans="2:8" ht="52.5" thickBot="1">
      <c r="B295" s="35" t="s">
        <v>495</v>
      </c>
      <c r="C295" s="35"/>
      <c r="D295" s="35" t="s">
        <v>81</v>
      </c>
      <c r="E295" s="35" t="s">
        <v>648</v>
      </c>
      <c r="F295" s="35"/>
      <c r="G295" s="35" t="s">
        <v>881</v>
      </c>
      <c r="H295" s="35" t="s">
        <v>1065</v>
      </c>
    </row>
    <row r="296" spans="2:8" ht="52.5" thickBot="1">
      <c r="B296" s="35" t="s">
        <v>496</v>
      </c>
      <c r="C296" s="35"/>
      <c r="D296" s="35" t="s">
        <v>697</v>
      </c>
      <c r="E296" s="35" t="s">
        <v>648</v>
      </c>
      <c r="F296" s="35" t="s">
        <v>699</v>
      </c>
      <c r="G296" s="35" t="s">
        <v>1064</v>
      </c>
      <c r="H296" s="35" t="s">
        <v>1066</v>
      </c>
    </row>
    <row r="297" spans="2:8" ht="39.75" thickBot="1">
      <c r="B297" s="35" t="s">
        <v>497</v>
      </c>
      <c r="C297" s="35"/>
      <c r="D297" s="35" t="s">
        <v>698</v>
      </c>
      <c r="E297" s="35" t="s">
        <v>699</v>
      </c>
      <c r="F297" s="35" t="s">
        <v>917</v>
      </c>
      <c r="G297" s="35" t="s">
        <v>1067</v>
      </c>
      <c r="H297" s="35" t="s">
        <v>1066</v>
      </c>
    </row>
    <row r="298" spans="2:8" ht="52.5" thickBot="1">
      <c r="B298" s="35" t="s">
        <v>498</v>
      </c>
      <c r="C298" s="35"/>
      <c r="D298" s="35" t="s">
        <v>700</v>
      </c>
      <c r="E298" s="35" t="s">
        <v>648</v>
      </c>
      <c r="F298" s="35" t="s">
        <v>1068</v>
      </c>
      <c r="G298" s="35" t="s">
        <v>1064</v>
      </c>
      <c r="H298" s="35" t="s">
        <v>1069</v>
      </c>
    </row>
    <row r="299" spans="2:8" ht="65.25" thickBot="1">
      <c r="B299" s="35" t="s">
        <v>475</v>
      </c>
      <c r="C299" s="35"/>
      <c r="D299" s="35" t="s">
        <v>75</v>
      </c>
      <c r="E299" s="35" t="s">
        <v>648</v>
      </c>
      <c r="F299" s="35" t="s">
        <v>952</v>
      </c>
      <c r="G299" s="35" t="s">
        <v>1079</v>
      </c>
      <c r="H299" s="35" t="s">
        <v>1080</v>
      </c>
    </row>
    <row r="300" spans="2:8" ht="52.5" thickBot="1">
      <c r="B300" s="35" t="s">
        <v>476</v>
      </c>
      <c r="C300" s="35"/>
      <c r="D300" s="35" t="s">
        <v>77</v>
      </c>
      <c r="E300" s="35" t="s">
        <v>648</v>
      </c>
      <c r="F300" s="35" t="s">
        <v>952</v>
      </c>
      <c r="G300" s="35" t="s">
        <v>967</v>
      </c>
      <c r="H300" s="35"/>
    </row>
    <row r="301" spans="2:8" ht="52.5" thickBot="1">
      <c r="B301" s="35" t="s">
        <v>477</v>
      </c>
      <c r="C301" s="35"/>
      <c r="D301" s="35" t="s">
        <v>78</v>
      </c>
      <c r="E301" s="35" t="s">
        <v>648</v>
      </c>
      <c r="F301" s="35" t="s">
        <v>952</v>
      </c>
      <c r="G301" s="35" t="s">
        <v>967</v>
      </c>
      <c r="H301" s="35"/>
    </row>
    <row r="302" spans="2:8" ht="65.25" thickBot="1">
      <c r="B302" s="35" t="s">
        <v>478</v>
      </c>
      <c r="C302" s="35"/>
      <c r="D302" s="35" t="s">
        <v>76</v>
      </c>
      <c r="E302" s="35" t="s">
        <v>648</v>
      </c>
      <c r="F302" s="35" t="s">
        <v>952</v>
      </c>
      <c r="G302" s="35" t="s">
        <v>1073</v>
      </c>
      <c r="H302" s="35" t="s">
        <v>1079</v>
      </c>
    </row>
    <row r="303" spans="2:8" ht="103.5" thickBot="1">
      <c r="B303" s="35" t="s">
        <v>785</v>
      </c>
      <c r="C303" s="36" t="s">
        <v>1081</v>
      </c>
      <c r="D303" s="35" t="s">
        <v>75</v>
      </c>
      <c r="E303" s="35" t="s">
        <v>644</v>
      </c>
      <c r="F303" s="35" t="s">
        <v>1082</v>
      </c>
      <c r="G303" s="35" t="s">
        <v>1083</v>
      </c>
      <c r="H303" s="35" t="s">
        <v>1084</v>
      </c>
    </row>
    <row r="304" spans="2:8" ht="103.5" thickBot="1">
      <c r="B304" s="35" t="s">
        <v>786</v>
      </c>
      <c r="C304" s="36" t="s">
        <v>1085</v>
      </c>
      <c r="D304" s="35" t="s">
        <v>77</v>
      </c>
      <c r="E304" s="35" t="s">
        <v>644</v>
      </c>
      <c r="F304" s="35" t="s">
        <v>967</v>
      </c>
      <c r="G304" s="35"/>
      <c r="H304" s="35" t="s">
        <v>1086</v>
      </c>
    </row>
    <row r="305" spans="2:8" ht="103.5" thickBot="1">
      <c r="B305" s="35" t="s">
        <v>787</v>
      </c>
      <c r="C305" s="36" t="s">
        <v>1087</v>
      </c>
      <c r="D305" s="35" t="s">
        <v>78</v>
      </c>
      <c r="E305" s="35" t="s">
        <v>644</v>
      </c>
      <c r="F305" s="35" t="s">
        <v>967</v>
      </c>
      <c r="G305" s="35"/>
      <c r="H305" s="35" t="s">
        <v>1088</v>
      </c>
    </row>
    <row r="306" spans="2:8" ht="52.5" thickBot="1">
      <c r="B306" s="35" t="s">
        <v>479</v>
      </c>
      <c r="C306" s="35"/>
      <c r="D306" s="35" t="s">
        <v>550</v>
      </c>
      <c r="E306" s="35" t="s">
        <v>648</v>
      </c>
      <c r="F306" s="35" t="s">
        <v>967</v>
      </c>
      <c r="G306" s="35" t="s">
        <v>869</v>
      </c>
      <c r="H306" s="35" t="s">
        <v>870</v>
      </c>
    </row>
    <row r="307" spans="2:8" ht="103.5" thickBot="1">
      <c r="B307" s="35" t="s">
        <v>645</v>
      </c>
      <c r="C307" s="35" t="s">
        <v>1089</v>
      </c>
      <c r="D307" s="35" t="s">
        <v>729</v>
      </c>
      <c r="E307" s="35" t="s">
        <v>644</v>
      </c>
      <c r="F307" s="35" t="s">
        <v>967</v>
      </c>
      <c r="G307" s="35"/>
      <c r="H307" s="35" t="s">
        <v>1090</v>
      </c>
    </row>
    <row r="308" spans="2:8" ht="39.75" thickBot="1">
      <c r="B308" s="35" t="s">
        <v>486</v>
      </c>
      <c r="C308" s="35"/>
      <c r="D308" s="35" t="s">
        <v>687</v>
      </c>
      <c r="E308" s="35" t="s">
        <v>686</v>
      </c>
      <c r="F308" s="35" t="s">
        <v>868</v>
      </c>
      <c r="G308" s="35" t="s">
        <v>869</v>
      </c>
      <c r="H308" s="35" t="s">
        <v>870</v>
      </c>
    </row>
    <row r="309" spans="2:8" ht="52.5" thickBot="1">
      <c r="B309" s="35" t="s">
        <v>480</v>
      </c>
      <c r="C309" s="35"/>
      <c r="D309" s="35" t="s">
        <v>551</v>
      </c>
      <c r="E309" s="35" t="s">
        <v>648</v>
      </c>
      <c r="F309" s="35"/>
      <c r="G309" s="35" t="s">
        <v>869</v>
      </c>
      <c r="H309" s="35" t="s">
        <v>870</v>
      </c>
    </row>
    <row r="310" spans="2:8" ht="103.5" thickBot="1">
      <c r="B310" s="35" t="s">
        <v>646</v>
      </c>
      <c r="C310" s="35" t="s">
        <v>1091</v>
      </c>
      <c r="D310" s="35" t="s">
        <v>730</v>
      </c>
      <c r="E310" s="35" t="s">
        <v>644</v>
      </c>
      <c r="F310" s="35"/>
      <c r="G310" s="35"/>
      <c r="H310" s="35" t="s">
        <v>1092</v>
      </c>
    </row>
    <row r="311" spans="2:8" ht="103.5" thickBot="1">
      <c r="B311" s="35" t="s">
        <v>789</v>
      </c>
      <c r="C311" s="35" t="s">
        <v>1093</v>
      </c>
      <c r="D311" s="35" t="s">
        <v>790</v>
      </c>
      <c r="E311" s="35" t="s">
        <v>644</v>
      </c>
      <c r="F311" s="35" t="s">
        <v>684</v>
      </c>
      <c r="G311" s="35" t="s">
        <v>872</v>
      </c>
      <c r="H311" s="35" t="s">
        <v>1094</v>
      </c>
    </row>
    <row r="312" spans="2:8" ht="90.75" thickBot="1">
      <c r="B312" s="35" t="s">
        <v>489</v>
      </c>
      <c r="C312" s="36"/>
      <c r="D312" s="35" t="s">
        <v>691</v>
      </c>
      <c r="E312" s="35" t="s">
        <v>692</v>
      </c>
      <c r="F312" s="35" t="s">
        <v>1205</v>
      </c>
      <c r="G312" s="35" t="s">
        <v>1217</v>
      </c>
      <c r="H312" s="35" t="s">
        <v>1218</v>
      </c>
    </row>
    <row r="313" spans="2:8" ht="103.5" thickBot="1">
      <c r="B313" s="35" t="s">
        <v>647</v>
      </c>
      <c r="C313" s="35" t="s">
        <v>1095</v>
      </c>
      <c r="D313" s="35" t="s">
        <v>731</v>
      </c>
      <c r="E313" s="35" t="s">
        <v>644</v>
      </c>
      <c r="F313" s="35" t="s">
        <v>1068</v>
      </c>
      <c r="G313" s="35" t="s">
        <v>1096</v>
      </c>
      <c r="H313" s="35" t="s">
        <v>1202</v>
      </c>
    </row>
    <row r="314" spans="2:8" ht="39.75" thickBot="1">
      <c r="B314" s="35" t="s">
        <v>491</v>
      </c>
      <c r="C314" s="35"/>
      <c r="D314" s="35" t="s">
        <v>694</v>
      </c>
      <c r="E314" s="35" t="s">
        <v>684</v>
      </c>
      <c r="F314" s="35" t="s">
        <v>868</v>
      </c>
      <c r="G314" s="35" t="s">
        <v>875</v>
      </c>
      <c r="H314" s="35" t="s">
        <v>1097</v>
      </c>
    </row>
    <row r="315" spans="2:8" ht="90.75" thickBot="1">
      <c r="B315" s="35" t="s">
        <v>840</v>
      </c>
      <c r="C315" s="35" t="s">
        <v>1098</v>
      </c>
      <c r="D315" s="35" t="s">
        <v>841</v>
      </c>
      <c r="E315" s="35" t="s">
        <v>1099</v>
      </c>
      <c r="F315" s="35"/>
      <c r="G315" s="35"/>
      <c r="H315" s="35"/>
    </row>
    <row r="316" spans="2:8" ht="39.75" thickBot="1">
      <c r="B316" s="35" t="s">
        <v>490</v>
      </c>
      <c r="C316" s="35"/>
      <c r="D316" s="35" t="s">
        <v>693</v>
      </c>
      <c r="E316" s="35" t="s">
        <v>684</v>
      </c>
      <c r="F316" s="35" t="s">
        <v>868</v>
      </c>
      <c r="G316" s="35" t="s">
        <v>875</v>
      </c>
      <c r="H316" s="35"/>
    </row>
    <row r="317" spans="2:8" ht="90.75" thickBot="1">
      <c r="B317" s="35" t="s">
        <v>838</v>
      </c>
      <c r="C317" s="35" t="s">
        <v>1100</v>
      </c>
      <c r="D317" s="35" t="s">
        <v>839</v>
      </c>
      <c r="E317" s="35" t="s">
        <v>1101</v>
      </c>
      <c r="F317" s="35"/>
      <c r="G317" s="35"/>
      <c r="H317" s="35"/>
    </row>
    <row r="318" spans="2:8" ht="52.5" thickBot="1">
      <c r="B318" s="35" t="s">
        <v>336</v>
      </c>
      <c r="C318" s="35" t="s">
        <v>44</v>
      </c>
      <c r="D318" s="35" t="s">
        <v>82</v>
      </c>
      <c r="E318" s="35" t="s">
        <v>658</v>
      </c>
      <c r="F318" s="35" t="s">
        <v>684</v>
      </c>
      <c r="G318" s="35"/>
      <c r="H318" s="35"/>
    </row>
    <row r="319" spans="2:8" ht="78" thickBot="1">
      <c r="B319" s="35" t="s">
        <v>834</v>
      </c>
      <c r="C319" s="35" t="s">
        <v>1102</v>
      </c>
      <c r="D319" s="35" t="s">
        <v>82</v>
      </c>
      <c r="E319" s="35" t="s">
        <v>1103</v>
      </c>
      <c r="F319" s="35"/>
      <c r="G319" s="35"/>
      <c r="H319" s="35"/>
    </row>
    <row r="320" spans="2:8" ht="52.5" thickBot="1">
      <c r="B320" s="35" t="s">
        <v>334</v>
      </c>
      <c r="C320" s="36" t="s">
        <v>7</v>
      </c>
      <c r="D320" s="35" t="s">
        <v>74</v>
      </c>
      <c r="E320" s="35" t="s">
        <v>658</v>
      </c>
      <c r="F320" s="35" t="s">
        <v>684</v>
      </c>
      <c r="G320" s="35"/>
      <c r="H320" s="35"/>
    </row>
    <row r="321" spans="2:8" ht="78" thickBot="1">
      <c r="B321" s="35" t="s">
        <v>831</v>
      </c>
      <c r="C321" s="36" t="s">
        <v>1104</v>
      </c>
      <c r="D321" s="35" t="s">
        <v>74</v>
      </c>
      <c r="E321" s="35" t="s">
        <v>1103</v>
      </c>
      <c r="F321" s="35"/>
      <c r="G321" s="35"/>
      <c r="H321" s="35"/>
    </row>
    <row r="322" spans="2:8" ht="52.5" thickBot="1">
      <c r="B322" s="35" t="s">
        <v>338</v>
      </c>
      <c r="C322" s="36" t="s">
        <v>56</v>
      </c>
      <c r="D322" s="35" t="s">
        <v>84</v>
      </c>
      <c r="E322" s="35" t="s">
        <v>658</v>
      </c>
      <c r="F322" s="35" t="s">
        <v>684</v>
      </c>
      <c r="G322" s="35"/>
      <c r="H322" s="35"/>
    </row>
    <row r="323" spans="2:8" ht="78" thickBot="1">
      <c r="B323" s="35" t="s">
        <v>828</v>
      </c>
      <c r="C323" s="36" t="s">
        <v>1105</v>
      </c>
      <c r="D323" s="35" t="s">
        <v>84</v>
      </c>
      <c r="E323" s="35" t="s">
        <v>1103</v>
      </c>
      <c r="F323" s="35"/>
      <c r="G323" s="35"/>
      <c r="H323" s="35"/>
    </row>
    <row r="324" spans="2:8" ht="52.5" thickBot="1">
      <c r="B324" s="35" t="s">
        <v>337</v>
      </c>
      <c r="C324" s="35" t="s">
        <v>46</v>
      </c>
      <c r="D324" s="35" t="s">
        <v>83</v>
      </c>
      <c r="E324" s="35" t="s">
        <v>658</v>
      </c>
      <c r="F324" s="35" t="s">
        <v>684</v>
      </c>
      <c r="G324" s="35"/>
      <c r="H324" s="35"/>
    </row>
    <row r="325" spans="2:8" ht="78" thickBot="1">
      <c r="B325" s="35" t="s">
        <v>835</v>
      </c>
      <c r="C325" s="36" t="s">
        <v>1106</v>
      </c>
      <c r="D325" s="35" t="s">
        <v>83</v>
      </c>
      <c r="E325" s="35" t="s">
        <v>1103</v>
      </c>
      <c r="F325" s="35"/>
      <c r="G325" s="35"/>
      <c r="H325" s="35"/>
    </row>
    <row r="326" spans="2:8" ht="52.5" thickBot="1">
      <c r="B326" s="35" t="s">
        <v>500</v>
      </c>
      <c r="C326" s="36"/>
      <c r="D326" s="35" t="s">
        <v>555</v>
      </c>
      <c r="E326" s="35" t="s">
        <v>819</v>
      </c>
      <c r="F326" s="35" t="s">
        <v>1068</v>
      </c>
      <c r="G326" s="35" t="s">
        <v>869</v>
      </c>
      <c r="H326" s="35" t="s">
        <v>870</v>
      </c>
    </row>
    <row r="327" spans="2:8" ht="103.5" thickBot="1">
      <c r="B327" s="35" t="s">
        <v>797</v>
      </c>
      <c r="C327" s="36" t="s">
        <v>1107</v>
      </c>
      <c r="D327" s="35" t="s">
        <v>555</v>
      </c>
      <c r="E327" s="35" t="s">
        <v>822</v>
      </c>
      <c r="F327" s="35" t="s">
        <v>1068</v>
      </c>
      <c r="G327" s="35"/>
      <c r="H327" s="35" t="s">
        <v>1108</v>
      </c>
    </row>
    <row r="328" spans="2:8" ht="52.5" thickBot="1">
      <c r="B328" s="35" t="s">
        <v>499</v>
      </c>
      <c r="C328" s="36"/>
      <c r="D328" s="35" t="s">
        <v>554</v>
      </c>
      <c r="E328" s="35" t="s">
        <v>658</v>
      </c>
      <c r="F328" s="35" t="s">
        <v>1068</v>
      </c>
      <c r="G328" s="35"/>
      <c r="H328" s="35"/>
    </row>
    <row r="329" spans="2:8" ht="78" thickBot="1">
      <c r="B329" s="35" t="s">
        <v>833</v>
      </c>
      <c r="C329" s="35" t="s">
        <v>1109</v>
      </c>
      <c r="D329" s="35" t="s">
        <v>554</v>
      </c>
      <c r="E329" s="35" t="s">
        <v>1110</v>
      </c>
      <c r="F329" s="35"/>
      <c r="G329" s="35"/>
      <c r="H329" s="35"/>
    </row>
    <row r="330" spans="2:8" ht="52.5" thickBot="1">
      <c r="B330" s="35" t="s">
        <v>335</v>
      </c>
      <c r="C330" s="35" t="s">
        <v>29</v>
      </c>
      <c r="D330" s="35" t="s">
        <v>552</v>
      </c>
      <c r="E330" s="35" t="s">
        <v>648</v>
      </c>
      <c r="F330" s="35" t="s">
        <v>686</v>
      </c>
      <c r="G330" s="35" t="s">
        <v>869</v>
      </c>
      <c r="H330" s="35" t="s">
        <v>870</v>
      </c>
    </row>
    <row r="331" spans="2:8" ht="103.5" thickBot="1">
      <c r="B331" s="35" t="s">
        <v>826</v>
      </c>
      <c r="C331" s="35" t="s">
        <v>1111</v>
      </c>
      <c r="D331" s="35" t="s">
        <v>552</v>
      </c>
      <c r="E331" s="35" t="s">
        <v>1103</v>
      </c>
      <c r="F331" s="35"/>
      <c r="G331" s="35"/>
      <c r="H331" s="35" t="s">
        <v>1112</v>
      </c>
    </row>
    <row r="332" spans="2:8" ht="27" thickBot="1">
      <c r="B332" s="35" t="s">
        <v>825</v>
      </c>
      <c r="C332" s="35"/>
      <c r="D332" s="35" t="s">
        <v>830</v>
      </c>
      <c r="E332" s="35" t="s">
        <v>662</v>
      </c>
      <c r="F332" s="35"/>
      <c r="G332" s="35"/>
      <c r="H332" s="35"/>
    </row>
    <row r="333" spans="2:8" ht="52.5" thickBot="1">
      <c r="B333" s="35" t="s">
        <v>357</v>
      </c>
      <c r="C333" s="36"/>
      <c r="D333" s="35" t="s">
        <v>606</v>
      </c>
      <c r="E333" s="35" t="s">
        <v>663</v>
      </c>
      <c r="F333" s="35" t="s">
        <v>1113</v>
      </c>
      <c r="G333" s="35" t="s">
        <v>1114</v>
      </c>
      <c r="H333" s="35" t="s">
        <v>1115</v>
      </c>
    </row>
    <row r="334" spans="2:8" ht="27" thickBot="1">
      <c r="B334" s="35" t="s">
        <v>856</v>
      </c>
      <c r="C334" s="35"/>
      <c r="D334" s="35" t="s">
        <v>857</v>
      </c>
      <c r="E334" s="35" t="s">
        <v>663</v>
      </c>
      <c r="F334" s="35" t="s">
        <v>1116</v>
      </c>
      <c r="G334" s="35"/>
      <c r="H334" s="35"/>
    </row>
    <row r="335" spans="2:8" ht="52.5" thickBot="1">
      <c r="B335" s="35" t="s">
        <v>361</v>
      </c>
      <c r="C335" s="35"/>
      <c r="D335" s="35" t="s">
        <v>610</v>
      </c>
      <c r="E335" s="35" t="s">
        <v>732</v>
      </c>
      <c r="F335" s="35" t="s">
        <v>1117</v>
      </c>
      <c r="G335" s="35" t="s">
        <v>935</v>
      </c>
      <c r="H335" s="35" t="s">
        <v>1118</v>
      </c>
    </row>
    <row r="336" spans="2:8" ht="52.5" thickBot="1">
      <c r="B336" s="35" t="s">
        <v>362</v>
      </c>
      <c r="C336" s="35"/>
      <c r="D336" s="35" t="s">
        <v>139</v>
      </c>
      <c r="E336" s="35" t="s">
        <v>732</v>
      </c>
      <c r="F336" s="35" t="s">
        <v>1117</v>
      </c>
      <c r="G336" s="35" t="s">
        <v>935</v>
      </c>
      <c r="H336" s="35" t="s">
        <v>1118</v>
      </c>
    </row>
    <row r="337" spans="2:8" ht="52.5" thickBot="1">
      <c r="B337" s="35" t="s">
        <v>365</v>
      </c>
      <c r="C337" s="35"/>
      <c r="D337" s="35" t="s">
        <v>141</v>
      </c>
      <c r="E337" s="35" t="s">
        <v>732</v>
      </c>
      <c r="F337" s="35" t="s">
        <v>1119</v>
      </c>
      <c r="G337" s="35"/>
      <c r="H337" s="35"/>
    </row>
    <row r="338" spans="2:8" ht="65.25" thickBot="1">
      <c r="B338" s="35" t="s">
        <v>519</v>
      </c>
      <c r="C338" s="35" t="s">
        <v>1120</v>
      </c>
      <c r="D338" s="35" t="s">
        <v>627</v>
      </c>
      <c r="E338" s="35" t="s">
        <v>746</v>
      </c>
      <c r="F338" s="35" t="s">
        <v>1121</v>
      </c>
      <c r="G338" s="35" t="s">
        <v>935</v>
      </c>
      <c r="H338" s="35" t="s">
        <v>1122</v>
      </c>
    </row>
    <row r="339" spans="2:8" ht="15.75" thickBot="1">
      <c r="B339" s="35" t="s">
        <v>391</v>
      </c>
      <c r="C339" s="35"/>
      <c r="D339" s="35" t="s">
        <v>163</v>
      </c>
      <c r="E339" s="35"/>
      <c r="F339" s="35"/>
      <c r="G339" s="35"/>
      <c r="H339" s="35"/>
    </row>
    <row r="340" spans="2:8" ht="39.75" thickBot="1">
      <c r="B340" s="35" t="s">
        <v>522</v>
      </c>
      <c r="C340" s="35" t="s">
        <v>1123</v>
      </c>
      <c r="D340" s="35" t="s">
        <v>629</v>
      </c>
      <c r="E340" s="35" t="s">
        <v>746</v>
      </c>
      <c r="F340" s="35"/>
      <c r="G340" s="35" t="s">
        <v>869</v>
      </c>
      <c r="H340" s="35" t="s">
        <v>870</v>
      </c>
    </row>
    <row r="341" spans="2:8" ht="39.75" thickBot="1">
      <c r="B341" s="35" t="s">
        <v>521</v>
      </c>
      <c r="C341" s="35" t="s">
        <v>1124</v>
      </c>
      <c r="D341" s="35" t="s">
        <v>626</v>
      </c>
      <c r="E341" s="35" t="s">
        <v>746</v>
      </c>
      <c r="F341" s="35"/>
      <c r="G341" s="35"/>
      <c r="H341" s="35"/>
    </row>
    <row r="342" spans="2:8" ht="39.75" thickBot="1">
      <c r="B342" s="35" t="s">
        <v>520</v>
      </c>
      <c r="C342" s="35" t="s">
        <v>1125</v>
      </c>
      <c r="D342" s="35" t="s">
        <v>628</v>
      </c>
      <c r="E342" s="35" t="s">
        <v>746</v>
      </c>
      <c r="F342" s="35"/>
      <c r="G342" s="35"/>
      <c r="H342" s="35"/>
    </row>
    <row r="343" spans="2:8" ht="52.5" thickBot="1">
      <c r="B343" s="35" t="s">
        <v>733</v>
      </c>
      <c r="C343" s="35" t="s">
        <v>1126</v>
      </c>
      <c r="D343" s="35" t="s">
        <v>734</v>
      </c>
      <c r="E343" s="35" t="s">
        <v>735</v>
      </c>
      <c r="F343" s="35" t="s">
        <v>1127</v>
      </c>
      <c r="G343" s="35" t="s">
        <v>1128</v>
      </c>
      <c r="H343" s="35"/>
    </row>
    <row r="344" spans="2:8" ht="39.75" thickBot="1">
      <c r="B344" s="35" t="s">
        <v>859</v>
      </c>
      <c r="C344" s="35" t="s">
        <v>1183</v>
      </c>
      <c r="D344" s="35" t="s">
        <v>860</v>
      </c>
      <c r="E344" s="35" t="s">
        <v>863</v>
      </c>
      <c r="F344" s="35"/>
      <c r="G344" s="35"/>
      <c r="H344" s="35"/>
    </row>
    <row r="345" spans="2:8" ht="39.75" thickBot="1">
      <c r="B345" s="35" t="s">
        <v>861</v>
      </c>
      <c r="C345" s="35" t="s">
        <v>1184</v>
      </c>
      <c r="D345" s="35" t="s">
        <v>862</v>
      </c>
      <c r="E345" s="35" t="s">
        <v>863</v>
      </c>
      <c r="F345" s="35"/>
      <c r="G345" s="35"/>
      <c r="H345" s="35"/>
    </row>
    <row r="346" spans="2:8" ht="39.75" thickBot="1">
      <c r="B346" s="35" t="s">
        <v>358</v>
      </c>
      <c r="C346" s="35" t="s">
        <v>1198</v>
      </c>
      <c r="D346" s="35" t="s">
        <v>607</v>
      </c>
      <c r="E346" s="35" t="s">
        <v>663</v>
      </c>
      <c r="F346" s="35"/>
      <c r="G346" s="35"/>
      <c r="H346" s="35"/>
    </row>
    <row r="347" spans="2:8" ht="39.75" thickBot="1">
      <c r="B347" s="35" t="s">
        <v>359</v>
      </c>
      <c r="C347" s="35" t="s">
        <v>3</v>
      </c>
      <c r="D347" s="35" t="s">
        <v>608</v>
      </c>
      <c r="E347" s="35" t="s">
        <v>663</v>
      </c>
      <c r="F347" s="35"/>
      <c r="G347" s="35"/>
      <c r="H347" s="35"/>
    </row>
    <row r="348" spans="2:8" ht="27" thickBot="1">
      <c r="B348" s="35" t="s">
        <v>360</v>
      </c>
      <c r="C348" s="35"/>
      <c r="D348" s="35" t="s">
        <v>609</v>
      </c>
      <c r="E348" s="35" t="s">
        <v>663</v>
      </c>
      <c r="F348" s="35" t="s">
        <v>1117</v>
      </c>
      <c r="G348" s="35"/>
      <c r="H348" s="35"/>
    </row>
    <row r="349" spans="2:8" ht="52.5" thickBot="1">
      <c r="B349" s="35" t="s">
        <v>737</v>
      </c>
      <c r="C349" s="35"/>
      <c r="D349" s="35" t="s">
        <v>738</v>
      </c>
      <c r="E349" s="35" t="s">
        <v>739</v>
      </c>
      <c r="F349" s="35" t="s">
        <v>1130</v>
      </c>
      <c r="G349" s="35"/>
      <c r="H349" s="35"/>
    </row>
    <row r="350" spans="2:8" ht="52.5" thickBot="1">
      <c r="B350" s="35" t="s">
        <v>380</v>
      </c>
      <c r="C350" s="35"/>
      <c r="D350" s="35" t="s">
        <v>153</v>
      </c>
      <c r="E350" s="35" t="s">
        <v>739</v>
      </c>
      <c r="F350" s="35" t="s">
        <v>1130</v>
      </c>
      <c r="G350" s="35"/>
      <c r="H350" s="35"/>
    </row>
    <row r="351" spans="2:8" ht="52.5" thickBot="1">
      <c r="B351" s="35" t="s">
        <v>381</v>
      </c>
      <c r="C351" s="36"/>
      <c r="D351" s="35" t="s">
        <v>154</v>
      </c>
      <c r="E351" s="35" t="s">
        <v>739</v>
      </c>
      <c r="F351" s="35" t="s">
        <v>1130</v>
      </c>
      <c r="G351" s="35"/>
      <c r="H351" s="35"/>
    </row>
    <row r="352" spans="2:8" ht="52.5" thickBot="1">
      <c r="B352" s="35" t="s">
        <v>382</v>
      </c>
      <c r="C352" s="36"/>
      <c r="D352" s="35" t="s">
        <v>155</v>
      </c>
      <c r="E352" s="35" t="s">
        <v>740</v>
      </c>
      <c r="F352" s="35" t="s">
        <v>918</v>
      </c>
      <c r="G352" s="35" t="s">
        <v>1131</v>
      </c>
      <c r="H352" s="35" t="s">
        <v>1118</v>
      </c>
    </row>
    <row r="353" spans="2:8" ht="27" thickBot="1">
      <c r="B353" s="35" t="s">
        <v>383</v>
      </c>
      <c r="C353" s="36"/>
      <c r="D353" s="35" t="s">
        <v>156</v>
      </c>
      <c r="E353" s="35" t="s">
        <v>741</v>
      </c>
      <c r="F353" s="35"/>
      <c r="G353" s="35"/>
      <c r="H353" s="35"/>
    </row>
    <row r="354" spans="2:8" ht="52.5" thickBot="1">
      <c r="B354" s="35" t="s">
        <v>854</v>
      </c>
      <c r="C354" s="35"/>
      <c r="D354" s="35" t="s">
        <v>855</v>
      </c>
      <c r="E354" s="35" t="s">
        <v>663</v>
      </c>
      <c r="F354" s="35" t="s">
        <v>1129</v>
      </c>
      <c r="G354" s="35"/>
      <c r="H354" s="35"/>
    </row>
    <row r="355" spans="2:8" ht="52.5" thickBot="1">
      <c r="B355" s="35" t="s">
        <v>384</v>
      </c>
      <c r="C355" s="36"/>
      <c r="D355" s="35" t="s">
        <v>157</v>
      </c>
      <c r="E355" s="35" t="s">
        <v>742</v>
      </c>
      <c r="F355" s="35" t="s">
        <v>1130</v>
      </c>
      <c r="G355" s="35"/>
      <c r="H355" s="35"/>
    </row>
    <row r="356" spans="2:8" ht="52.5" thickBot="1">
      <c r="B356" s="35" t="s">
        <v>385</v>
      </c>
      <c r="C356" s="35"/>
      <c r="D356" s="35" t="s">
        <v>158</v>
      </c>
      <c r="E356" s="35" t="s">
        <v>742</v>
      </c>
      <c r="F356" s="35"/>
      <c r="G356" s="35" t="s">
        <v>869</v>
      </c>
      <c r="H356" s="35" t="s">
        <v>870</v>
      </c>
    </row>
    <row r="357" spans="2:8" ht="52.5" thickBot="1">
      <c r="B357" s="35" t="s">
        <v>386</v>
      </c>
      <c r="C357" s="35"/>
      <c r="D357" s="35" t="s">
        <v>159</v>
      </c>
      <c r="E357" s="35" t="s">
        <v>742</v>
      </c>
      <c r="F357" s="35" t="s">
        <v>1130</v>
      </c>
      <c r="G357" s="35" t="s">
        <v>869</v>
      </c>
      <c r="H357" s="35" t="s">
        <v>870</v>
      </c>
    </row>
    <row r="358" spans="2:8" ht="52.5" thickBot="1">
      <c r="B358" s="35" t="s">
        <v>387</v>
      </c>
      <c r="C358" s="36"/>
      <c r="D358" s="35" t="s">
        <v>160</v>
      </c>
      <c r="E358" s="35" t="s">
        <v>742</v>
      </c>
      <c r="F358" s="35" t="s">
        <v>1130</v>
      </c>
      <c r="G358" s="35" t="s">
        <v>869</v>
      </c>
      <c r="H358" s="35" t="s">
        <v>870</v>
      </c>
    </row>
    <row r="359" spans="2:8" ht="52.5" thickBot="1">
      <c r="B359" s="35" t="s">
        <v>388</v>
      </c>
      <c r="C359" s="36"/>
      <c r="D359" s="35" t="s">
        <v>743</v>
      </c>
      <c r="E359" s="35" t="s">
        <v>742</v>
      </c>
      <c r="F359" s="35" t="s">
        <v>1130</v>
      </c>
      <c r="G359" s="35"/>
      <c r="H359" s="35" t="s">
        <v>1132</v>
      </c>
    </row>
    <row r="360" spans="2:8" ht="52.5" thickBot="1">
      <c r="B360" s="35" t="s">
        <v>389</v>
      </c>
      <c r="C360" s="36"/>
      <c r="D360" s="35" t="s">
        <v>161</v>
      </c>
      <c r="E360" s="35" t="s">
        <v>744</v>
      </c>
      <c r="F360" s="35"/>
      <c r="G360" s="35"/>
      <c r="H360" s="35"/>
    </row>
    <row r="361" spans="2:8" ht="52.5" thickBot="1">
      <c r="B361" s="35" t="s">
        <v>390</v>
      </c>
      <c r="C361" s="36"/>
      <c r="D361" s="35" t="s">
        <v>162</v>
      </c>
      <c r="E361" s="35" t="s">
        <v>745</v>
      </c>
      <c r="F361" s="35" t="s">
        <v>1133</v>
      </c>
      <c r="G361" s="35"/>
      <c r="H361" s="35"/>
    </row>
    <row r="362" spans="2:8" ht="27" thickBot="1">
      <c r="B362" s="35" t="s">
        <v>366</v>
      </c>
      <c r="C362" s="35"/>
      <c r="D362" s="35" t="s">
        <v>142</v>
      </c>
      <c r="E362" s="35" t="s">
        <v>663</v>
      </c>
      <c r="F362" s="35"/>
      <c r="G362" s="35"/>
      <c r="H362" s="35"/>
    </row>
    <row r="363" spans="2:8" ht="52.5" thickBot="1">
      <c r="B363" s="35" t="s">
        <v>622</v>
      </c>
      <c r="C363" s="35"/>
      <c r="D363" s="35" t="s">
        <v>623</v>
      </c>
      <c r="E363" s="35" t="s">
        <v>746</v>
      </c>
      <c r="F363" s="35" t="s">
        <v>1134</v>
      </c>
      <c r="G363" s="35"/>
      <c r="H363" s="35"/>
    </row>
    <row r="364" spans="2:8" ht="27" thickBot="1">
      <c r="B364" s="35" t="s">
        <v>624</v>
      </c>
      <c r="C364" s="35"/>
      <c r="D364" s="35" t="s">
        <v>625</v>
      </c>
      <c r="E364" s="35" t="s">
        <v>747</v>
      </c>
      <c r="F364" s="35"/>
      <c r="G364" s="35"/>
      <c r="H364" s="35"/>
    </row>
    <row r="365" spans="2:8" ht="39.75" thickBot="1">
      <c r="B365" s="35" t="s">
        <v>748</v>
      </c>
      <c r="C365" s="35"/>
      <c r="D365" s="35" t="s">
        <v>749</v>
      </c>
      <c r="E365" s="35" t="s">
        <v>750</v>
      </c>
      <c r="F365" s="35"/>
      <c r="G365" s="35" t="s">
        <v>869</v>
      </c>
      <c r="H365" s="35" t="s">
        <v>870</v>
      </c>
    </row>
    <row r="366" spans="2:8" ht="27" thickBot="1">
      <c r="B366" s="35" t="s">
        <v>392</v>
      </c>
      <c r="C366" s="35"/>
      <c r="D366" s="35" t="s">
        <v>164</v>
      </c>
      <c r="E366" s="35" t="s">
        <v>663</v>
      </c>
      <c r="F366" s="35"/>
      <c r="G366" s="35"/>
      <c r="H366" s="35"/>
    </row>
    <row r="367" spans="2:8" ht="52.5" thickBot="1">
      <c r="B367" s="35" t="s">
        <v>393</v>
      </c>
      <c r="C367" s="35"/>
      <c r="D367" s="35" t="s">
        <v>615</v>
      </c>
      <c r="E367" s="35" t="s">
        <v>732</v>
      </c>
      <c r="F367" s="35" t="s">
        <v>1135</v>
      </c>
      <c r="G367" s="35"/>
      <c r="H367" s="35"/>
    </row>
    <row r="368" spans="2:8" ht="27" thickBot="1">
      <c r="B368" s="35" t="s">
        <v>394</v>
      </c>
      <c r="C368" s="36"/>
      <c r="D368" s="35" t="s">
        <v>165</v>
      </c>
      <c r="E368" s="35" t="s">
        <v>824</v>
      </c>
      <c r="F368" s="35"/>
      <c r="G368" s="35"/>
      <c r="H368" s="35"/>
    </row>
    <row r="369" spans="2:8" ht="27" thickBot="1">
      <c r="B369" s="35" t="s">
        <v>395</v>
      </c>
      <c r="C369" s="35"/>
      <c r="D369" s="35" t="s">
        <v>616</v>
      </c>
      <c r="E369" s="35" t="s">
        <v>824</v>
      </c>
      <c r="F369" s="35"/>
      <c r="G369" s="35"/>
      <c r="H369" s="35"/>
    </row>
    <row r="370" spans="2:8" ht="39.75" thickBot="1">
      <c r="B370" s="35" t="s">
        <v>396</v>
      </c>
      <c r="C370" s="35"/>
      <c r="D370" s="35" t="s">
        <v>166</v>
      </c>
      <c r="E370" s="35" t="s">
        <v>751</v>
      </c>
      <c r="F370" s="35" t="s">
        <v>1136</v>
      </c>
      <c r="G370" s="35" t="s">
        <v>869</v>
      </c>
      <c r="H370" s="35" t="s">
        <v>870</v>
      </c>
    </row>
    <row r="371" spans="2:8" ht="39.75" thickBot="1">
      <c r="B371" s="35" t="s">
        <v>397</v>
      </c>
      <c r="C371" s="35" t="s">
        <v>54</v>
      </c>
      <c r="D371" s="35" t="s">
        <v>617</v>
      </c>
      <c r="E371" s="35" t="s">
        <v>663</v>
      </c>
      <c r="F371" s="35"/>
      <c r="G371" s="35" t="s">
        <v>869</v>
      </c>
      <c r="H371" s="35" t="s">
        <v>870</v>
      </c>
    </row>
    <row r="372" spans="2:8" ht="52.5" thickBot="1">
      <c r="B372" s="35" t="s">
        <v>368</v>
      </c>
      <c r="C372" s="35"/>
      <c r="D372" s="35" t="s">
        <v>613</v>
      </c>
      <c r="E372" s="35" t="s">
        <v>732</v>
      </c>
      <c r="F372" s="35" t="s">
        <v>1137</v>
      </c>
      <c r="G372" s="35" t="s">
        <v>869</v>
      </c>
      <c r="H372" s="35" t="s">
        <v>870</v>
      </c>
    </row>
    <row r="373" spans="2:8" ht="52.5" thickBot="1">
      <c r="B373" s="35" t="s">
        <v>369</v>
      </c>
      <c r="C373" s="35"/>
      <c r="D373" s="35" t="s">
        <v>144</v>
      </c>
      <c r="E373" s="35" t="s">
        <v>732</v>
      </c>
      <c r="F373" s="35" t="s">
        <v>1137</v>
      </c>
      <c r="G373" s="35" t="s">
        <v>869</v>
      </c>
      <c r="H373" s="35" t="s">
        <v>870</v>
      </c>
    </row>
    <row r="374" spans="2:8" ht="52.5" thickBot="1">
      <c r="B374" s="35" t="s">
        <v>370</v>
      </c>
      <c r="C374" s="36"/>
      <c r="D374" s="35" t="s">
        <v>145</v>
      </c>
      <c r="E374" s="35" t="s">
        <v>732</v>
      </c>
      <c r="F374" s="35" t="s">
        <v>1137</v>
      </c>
      <c r="G374" s="35" t="s">
        <v>869</v>
      </c>
      <c r="H374" s="35" t="s">
        <v>870</v>
      </c>
    </row>
    <row r="375" spans="2:8" ht="52.5" thickBot="1">
      <c r="B375" s="35" t="s">
        <v>371</v>
      </c>
      <c r="C375" s="35"/>
      <c r="D375" s="35" t="s">
        <v>146</v>
      </c>
      <c r="E375" s="35" t="s">
        <v>732</v>
      </c>
      <c r="F375" s="35" t="s">
        <v>1137</v>
      </c>
      <c r="G375" s="35" t="s">
        <v>869</v>
      </c>
      <c r="H375" s="35" t="s">
        <v>870</v>
      </c>
    </row>
    <row r="376" spans="2:8" ht="52.5" thickBot="1">
      <c r="B376" s="35" t="s">
        <v>372</v>
      </c>
      <c r="C376" s="35"/>
      <c r="D376" s="35" t="s">
        <v>147</v>
      </c>
      <c r="E376" s="35" t="s">
        <v>732</v>
      </c>
      <c r="F376" s="35" t="s">
        <v>1137</v>
      </c>
      <c r="G376" s="35" t="s">
        <v>869</v>
      </c>
      <c r="H376" s="35" t="s">
        <v>870</v>
      </c>
    </row>
    <row r="377" spans="2:8" ht="39.75" thickBot="1">
      <c r="B377" s="35" t="s">
        <v>373</v>
      </c>
      <c r="C377" s="35"/>
      <c r="D377" s="35" t="s">
        <v>143</v>
      </c>
      <c r="E377" s="35"/>
      <c r="F377" s="35"/>
      <c r="G377" s="35" t="s">
        <v>869</v>
      </c>
      <c r="H377" s="35" t="s">
        <v>870</v>
      </c>
    </row>
    <row r="378" spans="2:8" ht="52.5" thickBot="1">
      <c r="B378" s="35" t="s">
        <v>374</v>
      </c>
      <c r="C378" s="35"/>
      <c r="D378" s="35" t="s">
        <v>614</v>
      </c>
      <c r="E378" s="35" t="s">
        <v>732</v>
      </c>
      <c r="F378" s="35" t="s">
        <v>1138</v>
      </c>
      <c r="G378" s="35" t="s">
        <v>869</v>
      </c>
      <c r="H378" s="35" t="s">
        <v>870</v>
      </c>
    </row>
    <row r="379" spans="2:8" ht="52.5" thickBot="1">
      <c r="B379" s="35" t="s">
        <v>375</v>
      </c>
      <c r="C379" s="35"/>
      <c r="D379" s="35" t="s">
        <v>148</v>
      </c>
      <c r="E379" s="35" t="s">
        <v>732</v>
      </c>
      <c r="F379" s="35" t="s">
        <v>1138</v>
      </c>
      <c r="G379" s="35" t="s">
        <v>869</v>
      </c>
      <c r="H379" s="35" t="s">
        <v>870</v>
      </c>
    </row>
    <row r="380" spans="2:8" ht="52.5" thickBot="1">
      <c r="B380" s="35" t="s">
        <v>376</v>
      </c>
      <c r="C380" s="35"/>
      <c r="D380" s="35" t="s">
        <v>149</v>
      </c>
      <c r="E380" s="35" t="s">
        <v>732</v>
      </c>
      <c r="F380" s="35" t="s">
        <v>1138</v>
      </c>
      <c r="G380" s="35" t="s">
        <v>869</v>
      </c>
      <c r="H380" s="35" t="s">
        <v>870</v>
      </c>
    </row>
    <row r="381" spans="2:8" ht="52.5" thickBot="1">
      <c r="B381" s="35" t="s">
        <v>377</v>
      </c>
      <c r="C381" s="35"/>
      <c r="D381" s="35" t="s">
        <v>150</v>
      </c>
      <c r="E381" s="35" t="s">
        <v>732</v>
      </c>
      <c r="F381" s="35" t="s">
        <v>1138</v>
      </c>
      <c r="G381" s="35" t="s">
        <v>869</v>
      </c>
      <c r="H381" s="35" t="s">
        <v>870</v>
      </c>
    </row>
    <row r="382" spans="2:8" ht="52.5" thickBot="1">
      <c r="B382" s="35" t="s">
        <v>378</v>
      </c>
      <c r="C382" s="35"/>
      <c r="D382" s="35" t="s">
        <v>151</v>
      </c>
      <c r="E382" s="35" t="s">
        <v>732</v>
      </c>
      <c r="F382" s="35" t="s">
        <v>1138</v>
      </c>
      <c r="G382" s="35" t="s">
        <v>869</v>
      </c>
      <c r="H382" s="35" t="s">
        <v>870</v>
      </c>
    </row>
    <row r="383" spans="2:8" ht="27" thickBot="1">
      <c r="B383" s="35" t="s">
        <v>398</v>
      </c>
      <c r="C383" s="35" t="s">
        <v>57</v>
      </c>
      <c r="D383" s="35" t="s">
        <v>618</v>
      </c>
      <c r="E383" s="35" t="s">
        <v>752</v>
      </c>
      <c r="F383" s="35"/>
      <c r="G383" s="35" t="s">
        <v>935</v>
      </c>
      <c r="H383" s="35" t="s">
        <v>1117</v>
      </c>
    </row>
    <row r="384" spans="2:8" ht="27" thickBot="1">
      <c r="B384" s="35" t="s">
        <v>367</v>
      </c>
      <c r="C384" s="35"/>
      <c r="D384" s="35" t="s">
        <v>612</v>
      </c>
      <c r="E384" s="35" t="s">
        <v>663</v>
      </c>
      <c r="F384" s="35" t="s">
        <v>1139</v>
      </c>
      <c r="G384" s="35"/>
      <c r="H384" s="35"/>
    </row>
    <row r="385" spans="2:8" ht="27" thickBot="1">
      <c r="B385" s="35" t="s">
        <v>363</v>
      </c>
      <c r="C385" s="35"/>
      <c r="D385" s="35" t="s">
        <v>140</v>
      </c>
      <c r="E385" s="35" t="s">
        <v>662</v>
      </c>
      <c r="F385" s="35"/>
      <c r="G385" s="35"/>
      <c r="H385" s="35"/>
    </row>
    <row r="386" spans="2:8" ht="27" thickBot="1">
      <c r="B386" s="35" t="s">
        <v>364</v>
      </c>
      <c r="C386" s="35"/>
      <c r="D386" s="35" t="s">
        <v>611</v>
      </c>
      <c r="E386" s="35" t="s">
        <v>663</v>
      </c>
      <c r="F386" s="35" t="s">
        <v>1117</v>
      </c>
      <c r="G386" s="35"/>
      <c r="H386" s="35"/>
    </row>
    <row r="387" spans="2:8" ht="52.5" thickBot="1">
      <c r="B387" s="35" t="s">
        <v>379</v>
      </c>
      <c r="C387" s="35"/>
      <c r="D387" s="35" t="s">
        <v>152</v>
      </c>
      <c r="E387" s="35" t="s">
        <v>736</v>
      </c>
      <c r="F387" s="35" t="s">
        <v>1140</v>
      </c>
      <c r="G387" s="35" t="s">
        <v>1141</v>
      </c>
      <c r="H387" s="35" t="s">
        <v>1142</v>
      </c>
    </row>
    <row r="388" spans="2:8" ht="52.5" thickBot="1">
      <c r="B388" s="35" t="s">
        <v>461</v>
      </c>
      <c r="C388" s="35"/>
      <c r="D388" s="35" t="s">
        <v>205</v>
      </c>
      <c r="E388" s="35" t="s">
        <v>660</v>
      </c>
      <c r="F388" s="35"/>
      <c r="G388" s="35"/>
      <c r="H388" s="35"/>
    </row>
    <row r="389" spans="2:8" ht="27" thickBot="1">
      <c r="B389" s="35" t="s">
        <v>471</v>
      </c>
      <c r="C389" s="36"/>
      <c r="D389" s="35" t="s">
        <v>209</v>
      </c>
      <c r="E389" s="35" t="s">
        <v>665</v>
      </c>
      <c r="F389" s="35"/>
      <c r="G389" s="35"/>
      <c r="H389" s="35"/>
    </row>
    <row r="390" spans="2:8" ht="15.75" thickBot="1">
      <c r="B390" s="35" t="s">
        <v>462</v>
      </c>
      <c r="C390" s="35"/>
      <c r="D390" s="35" t="s">
        <v>206</v>
      </c>
      <c r="E390" s="35"/>
      <c r="F390" s="35"/>
      <c r="G390" s="35"/>
      <c r="H390" s="35"/>
    </row>
    <row r="391" spans="2:8" ht="52.5" thickBot="1">
      <c r="B391" s="35" t="s">
        <v>466</v>
      </c>
      <c r="C391" s="36"/>
      <c r="D391" s="35" t="s">
        <v>600</v>
      </c>
      <c r="E391" s="35" t="s">
        <v>660</v>
      </c>
      <c r="F391" s="35"/>
      <c r="G391" s="35"/>
      <c r="H391" s="35"/>
    </row>
    <row r="392" spans="2:8" ht="15.75" thickBot="1">
      <c r="B392" s="35" t="s">
        <v>460</v>
      </c>
      <c r="C392" s="36"/>
      <c r="D392" s="35" t="s">
        <v>204</v>
      </c>
      <c r="E392" s="35"/>
      <c r="F392" s="35"/>
      <c r="G392" s="35"/>
      <c r="H392" s="35"/>
    </row>
    <row r="393" spans="2:8" ht="15.75" thickBot="1">
      <c r="B393" s="35" t="s">
        <v>467</v>
      </c>
      <c r="C393" s="36"/>
      <c r="D393" s="35" t="s">
        <v>208</v>
      </c>
      <c r="E393" s="35"/>
      <c r="F393" s="35"/>
      <c r="G393" s="35"/>
      <c r="H393" s="35"/>
    </row>
    <row r="394" spans="2:8" ht="52.5" thickBot="1">
      <c r="B394" s="35" t="s">
        <v>472</v>
      </c>
      <c r="C394" s="36"/>
      <c r="D394" s="35" t="s">
        <v>604</v>
      </c>
      <c r="E394" s="35" t="s">
        <v>728</v>
      </c>
      <c r="F394" s="35" t="s">
        <v>1143</v>
      </c>
      <c r="G394" s="35"/>
      <c r="H394" s="35"/>
    </row>
    <row r="395" spans="2:8" ht="52.5" thickBot="1">
      <c r="B395" s="35" t="s">
        <v>464</v>
      </c>
      <c r="C395" s="35"/>
      <c r="D395" s="35" t="s">
        <v>598</v>
      </c>
      <c r="E395" s="35" t="s">
        <v>727</v>
      </c>
      <c r="F395" s="35"/>
      <c r="G395" s="35" t="s">
        <v>869</v>
      </c>
      <c r="H395" s="35" t="s">
        <v>870</v>
      </c>
    </row>
    <row r="396" spans="2:8" ht="52.5" thickBot="1">
      <c r="B396" s="35" t="s">
        <v>465</v>
      </c>
      <c r="C396" s="35"/>
      <c r="D396" s="35" t="s">
        <v>599</v>
      </c>
      <c r="E396" s="35" t="s">
        <v>727</v>
      </c>
      <c r="F396" s="35"/>
      <c r="G396" s="35" t="s">
        <v>869</v>
      </c>
      <c r="H396" s="35" t="s">
        <v>870</v>
      </c>
    </row>
    <row r="397" spans="2:8" ht="27" thickBot="1">
      <c r="B397" s="35" t="s">
        <v>463</v>
      </c>
      <c r="C397" s="35"/>
      <c r="D397" s="35" t="s">
        <v>207</v>
      </c>
      <c r="E397" s="35" t="s">
        <v>726</v>
      </c>
      <c r="F397" s="35"/>
      <c r="G397" s="35"/>
      <c r="H397" s="35"/>
    </row>
    <row r="398" spans="2:8" ht="52.5" thickBot="1">
      <c r="B398" s="35" t="s">
        <v>473</v>
      </c>
      <c r="C398" s="35"/>
      <c r="D398" s="35" t="s">
        <v>605</v>
      </c>
      <c r="E398" s="35" t="s">
        <v>660</v>
      </c>
      <c r="F398" s="35"/>
      <c r="G398" s="35"/>
      <c r="H398" s="35"/>
    </row>
    <row r="399" spans="2:8" ht="52.5" thickBot="1">
      <c r="B399" s="35" t="s">
        <v>470</v>
      </c>
      <c r="C399" s="36"/>
      <c r="D399" s="35" t="s">
        <v>603</v>
      </c>
      <c r="E399" s="35" t="s">
        <v>660</v>
      </c>
      <c r="F399" s="35"/>
      <c r="G399" s="35"/>
      <c r="H399" s="35"/>
    </row>
    <row r="400" spans="2:8" ht="60">
      <c r="B400" t="s">
        <v>469</v>
      </c>
      <c r="C400" s="32"/>
      <c r="D400" t="s">
        <v>602</v>
      </c>
      <c r="E400" s="30" t="s">
        <v>660</v>
      </c>
      <c r="F400" s="30" t="s">
        <v>1144</v>
      </c>
      <c r="G400" s="30"/>
      <c r="H400" s="30"/>
    </row>
    <row r="401" spans="2:8" ht="60">
      <c r="B401" t="s">
        <v>468</v>
      </c>
      <c r="D401" t="s">
        <v>601</v>
      </c>
      <c r="E401" s="30" t="s">
        <v>660</v>
      </c>
      <c r="F401" s="30" t="s">
        <v>1230</v>
      </c>
      <c r="G401" s="30"/>
      <c r="H401" s="30"/>
    </row>
    <row r="402" spans="2:8" ht="60">
      <c r="B402" t="s">
        <v>459</v>
      </c>
      <c r="D402" t="s">
        <v>597</v>
      </c>
      <c r="E402" s="30" t="s">
        <v>725</v>
      </c>
    </row>
  </sheetData>
  <phoneticPr fontId="1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NitroCELL_MAIN</vt:lpstr>
      <vt:lpstr>exportSTEPs</vt:lpstr>
      <vt:lpstr>DataTables</vt:lpstr>
      <vt:lpstr>NitroCELL_MATRIX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2026-06-23T01:28:10Z</dcterms:modified>
</cp:coreProperties>
</file>