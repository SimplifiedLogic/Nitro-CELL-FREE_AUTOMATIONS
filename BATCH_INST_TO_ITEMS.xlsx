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DEMO_FILES\FAMILY_TABLE_BREAKOUT\"/>
    </mc:Choice>
  </mc:AlternateContent>
  <xr:revisionPtr revIDLastSave="0" documentId="13_ncr:1_{E88C7698-6098-4684-A1BA-B59831A0268F}" xr6:coauthVersionLast="47" xr6:coauthVersionMax="47" xr10:uidLastSave="{00000000-0000-0000-0000-000000000000}"/>
  <bookViews>
    <workbookView xWindow="2730" yWindow="2730" windowWidth="18930" windowHeight="12855" tabRatio="867" activeTab="1" xr2:uid="{6D20EF5C-9ABD-4D76-BB21-84D89ECB8496}"/>
  </bookViews>
  <sheets>
    <sheet name="NitroCELL_MAIN" sheetId="10" r:id="rId1"/>
    <sheet name="getInstances" sheetId="22" r:id="rId2"/>
    <sheet name="Data" sheetId="23" r:id="rId3"/>
    <sheet name="extractInstToPart" sheetId="24" r:id="rId4"/>
    <sheet name="NitroCELL_IF_EXAMPLES" sheetId="20" r:id="rId5"/>
    <sheet name="NitroCELL_MATRIX" sheetId="18" r:id="rId6"/>
  </sheets>
  <definedNames>
    <definedName name="_xlnm._FilterDatabase" localSheetId="4" hidden="1">NitroCELL_IF_EXAMPLES!$A$23:$N$125</definedName>
    <definedName name="_xlnm._FilterDatabase" localSheetId="5" hidden="1">NitroCELL_MATRIX!$B$7:$C$402</definedName>
    <definedName name="ExternalData_1" localSheetId="5" hidden="1">NitroCELL_MATRIX!$J$3:$ON$4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6" i="22" l="1" a="1"/>
  <c r="B36" i="22" s="1"/>
  <c r="B35" i="22" a="1"/>
  <c r="B35" i="22"/>
  <c r="N5" i="24"/>
  <c r="M5" i="24"/>
  <c r="L5" i="24"/>
  <c r="K5" i="24"/>
  <c r="J5" i="24"/>
  <c r="D5" i="24"/>
  <c r="N10" i="22"/>
  <c r="M10" i="22"/>
  <c r="L10" i="22"/>
  <c r="K10" i="22"/>
  <c r="J10" i="22"/>
  <c r="D10" i="22"/>
  <c r="N14" i="22"/>
  <c r="M14" i="22"/>
  <c r="L14" i="22"/>
  <c r="K14" i="22"/>
  <c r="J14" i="22"/>
  <c r="D14" i="22"/>
  <c r="B12" i="22" a="1"/>
  <c r="B12" i="22" s="1"/>
  <c r="B9" i="22" a="1"/>
  <c r="B9" i="22" s="1"/>
  <c r="N11" i="22"/>
  <c r="M11" i="22"/>
  <c r="L11" i="22"/>
  <c r="K11" i="22"/>
  <c r="J11" i="22"/>
  <c r="D11" i="22"/>
  <c r="N8" i="22"/>
  <c r="M8" i="22"/>
  <c r="L8" i="22"/>
  <c r="K8" i="22"/>
  <c r="J8" i="22"/>
  <c r="D8" i="22"/>
  <c r="N7" i="22"/>
  <c r="M7" i="22"/>
  <c r="L7" i="22"/>
  <c r="K7" i="22"/>
  <c r="J7" i="22"/>
  <c r="D7" i="22"/>
  <c r="B23" i="22" a="1"/>
  <c r="B23" i="22" s="1"/>
  <c r="B16" i="24" a="1"/>
  <c r="B16" i="24" s="1"/>
  <c r="B22" i="22" a="1"/>
  <c r="B22" i="22" s="1"/>
  <c r="N22" i="22" s="1"/>
  <c r="N21" i="22"/>
  <c r="M21" i="22"/>
  <c r="L21" i="22"/>
  <c r="K21" i="22"/>
  <c r="J21" i="22"/>
  <c r="D21" i="22"/>
  <c r="N20" i="22"/>
  <c r="M20" i="22"/>
  <c r="L20" i="22"/>
  <c r="K20" i="22"/>
  <c r="J20" i="22"/>
  <c r="D20" i="22"/>
  <c r="N11" i="24"/>
  <c r="M11" i="24"/>
  <c r="L11" i="24"/>
  <c r="K11" i="24"/>
  <c r="J11" i="24"/>
  <c r="D11" i="24"/>
  <c r="N6" i="24"/>
  <c r="M6" i="24"/>
  <c r="L6" i="24"/>
  <c r="K6" i="24"/>
  <c r="J6" i="24"/>
  <c r="D6" i="24"/>
  <c r="N9" i="24"/>
  <c r="M9" i="24"/>
  <c r="L9" i="24"/>
  <c r="K9" i="24"/>
  <c r="J9" i="24"/>
  <c r="D9" i="24"/>
  <c r="N8" i="24"/>
  <c r="M8" i="24"/>
  <c r="L8" i="24"/>
  <c r="K8" i="24"/>
  <c r="J8" i="24"/>
  <c r="D8" i="24"/>
  <c r="N17" i="22"/>
  <c r="M17" i="22"/>
  <c r="L17" i="22"/>
  <c r="K17" i="22"/>
  <c r="J17" i="22"/>
  <c r="D17" i="22"/>
  <c r="N15" i="22"/>
  <c r="M15" i="22"/>
  <c r="L15" i="22"/>
  <c r="K15" i="22"/>
  <c r="J15" i="22"/>
  <c r="D15" i="22"/>
  <c r="N13" i="22"/>
  <c r="M13" i="22"/>
  <c r="L13" i="22"/>
  <c r="K13" i="22"/>
  <c r="J13" i="22"/>
  <c r="D13" i="22"/>
  <c r="B7" i="24" a="1"/>
  <c r="B7" i="24" s="1"/>
  <c r="B10" i="24" a="1"/>
  <c r="B10" i="24" s="1"/>
  <c r="B13" i="24" a="1"/>
  <c r="B13" i="24" s="1"/>
  <c r="L13" i="24" s="1"/>
  <c r="B16" i="22" a="1"/>
  <c r="B16" i="22" s="1"/>
  <c r="B29" i="22" a="1"/>
  <c r="B29" i="22" s="1"/>
  <c r="N28" i="22"/>
  <c r="M28" i="22"/>
  <c r="L28" i="22"/>
  <c r="K28" i="22"/>
  <c r="J28" i="22"/>
  <c r="D28" i="22"/>
  <c r="N27" i="22"/>
  <c r="M27" i="22"/>
  <c r="L27" i="22"/>
  <c r="K27" i="22"/>
  <c r="J27" i="22"/>
  <c r="D27" i="22"/>
  <c r="B32" i="22" a="1"/>
  <c r="B32" i="22" s="1"/>
  <c r="D12" i="24"/>
  <c r="J12" i="24"/>
  <c r="K12" i="24"/>
  <c r="L12" i="24"/>
  <c r="M12" i="24"/>
  <c r="N12" i="24"/>
  <c r="D14" i="24"/>
  <c r="J14" i="24"/>
  <c r="K14" i="24"/>
  <c r="L14" i="24"/>
  <c r="M14" i="24"/>
  <c r="N14" i="24"/>
  <c r="D15" i="24"/>
  <c r="J15" i="24"/>
  <c r="K15" i="24"/>
  <c r="L15" i="24"/>
  <c r="M15" i="24"/>
  <c r="N15" i="24"/>
  <c r="D17" i="24"/>
  <c r="J17" i="24"/>
  <c r="K17" i="24"/>
  <c r="L17" i="24"/>
  <c r="M17" i="24"/>
  <c r="N17" i="24"/>
  <c r="D18" i="24"/>
  <c r="J18" i="24"/>
  <c r="K18" i="24"/>
  <c r="L18" i="24"/>
  <c r="M18" i="24"/>
  <c r="N18" i="24"/>
  <c r="D19" i="24"/>
  <c r="J19" i="24"/>
  <c r="K19" i="24"/>
  <c r="L19" i="24"/>
  <c r="M19" i="24"/>
  <c r="N19" i="24"/>
  <c r="D20" i="24"/>
  <c r="J20" i="24"/>
  <c r="K20" i="24"/>
  <c r="L20" i="24"/>
  <c r="M20" i="24"/>
  <c r="N20" i="24"/>
  <c r="D21" i="24"/>
  <c r="J21" i="24"/>
  <c r="K21" i="24"/>
  <c r="L21" i="24"/>
  <c r="M21" i="24"/>
  <c r="N21" i="24"/>
  <c r="D22" i="24"/>
  <c r="J22" i="24"/>
  <c r="K22" i="24"/>
  <c r="L22" i="24"/>
  <c r="M22" i="24"/>
  <c r="N22" i="24"/>
  <c r="D23" i="24"/>
  <c r="J23" i="24"/>
  <c r="K23" i="24"/>
  <c r="L23" i="24"/>
  <c r="M23" i="24"/>
  <c r="N23" i="24"/>
  <c r="D24" i="24"/>
  <c r="J24" i="24"/>
  <c r="K24" i="24"/>
  <c r="L24" i="24"/>
  <c r="M24" i="24"/>
  <c r="N24" i="24"/>
  <c r="D25" i="24"/>
  <c r="J25" i="24"/>
  <c r="K25" i="24"/>
  <c r="L25" i="24"/>
  <c r="M25" i="24"/>
  <c r="N25" i="24"/>
  <c r="D26" i="24"/>
  <c r="J26" i="24"/>
  <c r="K26" i="24"/>
  <c r="L26" i="24"/>
  <c r="M26" i="24"/>
  <c r="N26" i="24"/>
  <c r="D27" i="24"/>
  <c r="J27" i="24"/>
  <c r="K27" i="24"/>
  <c r="L27" i="24"/>
  <c r="M27" i="24"/>
  <c r="N27" i="24"/>
  <c r="D28" i="24"/>
  <c r="J28" i="24"/>
  <c r="K28" i="24"/>
  <c r="L28" i="24"/>
  <c r="M28" i="24"/>
  <c r="N28" i="24"/>
  <c r="D29" i="24"/>
  <c r="J29" i="24"/>
  <c r="K29" i="24"/>
  <c r="L29" i="24"/>
  <c r="M29" i="24"/>
  <c r="N29" i="24"/>
  <c r="D30" i="24"/>
  <c r="J30" i="24"/>
  <c r="K30" i="24"/>
  <c r="L30" i="24"/>
  <c r="M30" i="24"/>
  <c r="N30" i="24"/>
  <c r="D31" i="24"/>
  <c r="J31" i="24"/>
  <c r="K31" i="24"/>
  <c r="L31" i="24"/>
  <c r="M31" i="24"/>
  <c r="N31" i="24"/>
  <c r="D32" i="24"/>
  <c r="J32" i="24"/>
  <c r="K32" i="24"/>
  <c r="L32" i="24"/>
  <c r="M32" i="24"/>
  <c r="N32" i="24"/>
  <c r="D33" i="24"/>
  <c r="J33" i="24"/>
  <c r="K33" i="24"/>
  <c r="L33" i="24"/>
  <c r="M33" i="24"/>
  <c r="N33" i="24"/>
  <c r="D34" i="24"/>
  <c r="J34" i="24"/>
  <c r="K34" i="24"/>
  <c r="L34" i="24"/>
  <c r="M34" i="24"/>
  <c r="N34" i="24"/>
  <c r="D35" i="24"/>
  <c r="J35" i="24"/>
  <c r="K35" i="24"/>
  <c r="L35" i="24"/>
  <c r="M35" i="24"/>
  <c r="N35" i="24"/>
  <c r="D36" i="24"/>
  <c r="J36" i="24"/>
  <c r="K36" i="24"/>
  <c r="L36" i="24"/>
  <c r="M36" i="24"/>
  <c r="N36" i="24"/>
  <c r="D37" i="24"/>
  <c r="J37" i="24"/>
  <c r="K37" i="24"/>
  <c r="L37" i="24"/>
  <c r="M37" i="24"/>
  <c r="N37" i="24"/>
  <c r="D38" i="24"/>
  <c r="J38" i="24"/>
  <c r="K38" i="24"/>
  <c r="L38" i="24"/>
  <c r="M38" i="24"/>
  <c r="N38" i="24"/>
  <c r="D39" i="24"/>
  <c r="J39" i="24"/>
  <c r="K39" i="24"/>
  <c r="L39" i="24"/>
  <c r="M39" i="24"/>
  <c r="N39" i="24"/>
  <c r="D40" i="24"/>
  <c r="J40" i="24"/>
  <c r="K40" i="24"/>
  <c r="L40" i="24"/>
  <c r="M40" i="24"/>
  <c r="N40" i="24"/>
  <c r="D41" i="24"/>
  <c r="J41" i="24"/>
  <c r="K41" i="24"/>
  <c r="L41" i="24"/>
  <c r="M41" i="24"/>
  <c r="N41" i="24"/>
  <c r="D42" i="24"/>
  <c r="J42" i="24"/>
  <c r="K42" i="24"/>
  <c r="L42" i="24"/>
  <c r="M42" i="24"/>
  <c r="N42" i="24"/>
  <c r="D43" i="24"/>
  <c r="J43" i="24"/>
  <c r="K43" i="24"/>
  <c r="L43" i="24"/>
  <c r="M43" i="24"/>
  <c r="N43" i="24"/>
  <c r="D44" i="24"/>
  <c r="J44" i="24"/>
  <c r="K44" i="24"/>
  <c r="L44" i="24"/>
  <c r="M44" i="24"/>
  <c r="N44" i="24"/>
  <c r="D45" i="24"/>
  <c r="J45" i="24"/>
  <c r="K45" i="24"/>
  <c r="L45" i="24"/>
  <c r="M45" i="24"/>
  <c r="N45" i="24"/>
  <c r="D46" i="24"/>
  <c r="J46" i="24"/>
  <c r="K46" i="24"/>
  <c r="L46" i="24"/>
  <c r="M46" i="24"/>
  <c r="N46" i="24"/>
  <c r="D47" i="24"/>
  <c r="J47" i="24"/>
  <c r="K47" i="24"/>
  <c r="L47" i="24"/>
  <c r="M47" i="24"/>
  <c r="N47" i="24"/>
  <c r="D48" i="24"/>
  <c r="J48" i="24"/>
  <c r="K48" i="24"/>
  <c r="L48" i="24"/>
  <c r="M48" i="24"/>
  <c r="N48" i="24"/>
  <c r="D49" i="24"/>
  <c r="J49" i="24"/>
  <c r="K49" i="24"/>
  <c r="L49" i="24"/>
  <c r="M49" i="24"/>
  <c r="N49" i="24"/>
  <c r="D50" i="24"/>
  <c r="J50" i="24"/>
  <c r="K50" i="24"/>
  <c r="L50" i="24"/>
  <c r="M50" i="24"/>
  <c r="N50" i="24"/>
  <c r="D51" i="24"/>
  <c r="J51" i="24"/>
  <c r="K51" i="24"/>
  <c r="L51" i="24"/>
  <c r="M51" i="24"/>
  <c r="N51" i="24"/>
  <c r="D52" i="24"/>
  <c r="J52" i="24"/>
  <c r="K52" i="24"/>
  <c r="L52" i="24"/>
  <c r="M52" i="24"/>
  <c r="N52" i="24"/>
  <c r="D53" i="24"/>
  <c r="J53" i="24"/>
  <c r="K53" i="24"/>
  <c r="L53" i="24"/>
  <c r="M53" i="24"/>
  <c r="N53" i="24"/>
  <c r="D54" i="24"/>
  <c r="J54" i="24"/>
  <c r="K54" i="24"/>
  <c r="L54" i="24"/>
  <c r="M54" i="24"/>
  <c r="N54" i="24"/>
  <c r="D55" i="24"/>
  <c r="J55" i="24"/>
  <c r="K55" i="24"/>
  <c r="L55" i="24"/>
  <c r="M55" i="24"/>
  <c r="N55" i="24"/>
  <c r="D56" i="24"/>
  <c r="J56" i="24"/>
  <c r="K56" i="24"/>
  <c r="L56" i="24"/>
  <c r="M56" i="24"/>
  <c r="N56" i="24"/>
  <c r="D57" i="24"/>
  <c r="J57" i="24"/>
  <c r="K57" i="24"/>
  <c r="L57" i="24"/>
  <c r="M57" i="24"/>
  <c r="N57" i="24"/>
  <c r="D58" i="24"/>
  <c r="J58" i="24"/>
  <c r="K58" i="24"/>
  <c r="L58" i="24"/>
  <c r="M58" i="24"/>
  <c r="N58" i="24"/>
  <c r="D59" i="24"/>
  <c r="J59" i="24"/>
  <c r="K59" i="24"/>
  <c r="L59" i="24"/>
  <c r="M59" i="24"/>
  <c r="N59" i="24"/>
  <c r="D60" i="24"/>
  <c r="J60" i="24"/>
  <c r="K60" i="24"/>
  <c r="L60" i="24"/>
  <c r="M60" i="24"/>
  <c r="N60" i="24"/>
  <c r="D61" i="24"/>
  <c r="J61" i="24"/>
  <c r="K61" i="24"/>
  <c r="L61" i="24"/>
  <c r="M61" i="24"/>
  <c r="N61" i="24"/>
  <c r="D62" i="24"/>
  <c r="J62" i="24"/>
  <c r="K62" i="24"/>
  <c r="L62" i="24"/>
  <c r="M62" i="24"/>
  <c r="N62" i="24"/>
  <c r="D63" i="24"/>
  <c r="J63" i="24"/>
  <c r="K63" i="24"/>
  <c r="L63" i="24"/>
  <c r="M63" i="24"/>
  <c r="N63" i="24"/>
  <c r="D64" i="24"/>
  <c r="J64" i="24"/>
  <c r="K64" i="24"/>
  <c r="L64" i="24"/>
  <c r="M64" i="24"/>
  <c r="N64" i="24"/>
  <c r="D65" i="24"/>
  <c r="J65" i="24"/>
  <c r="K65" i="24"/>
  <c r="L65" i="24"/>
  <c r="M65" i="24"/>
  <c r="N65" i="24"/>
  <c r="D66" i="24"/>
  <c r="J66" i="24"/>
  <c r="K66" i="24"/>
  <c r="L66" i="24"/>
  <c r="M66" i="24"/>
  <c r="N66" i="24"/>
  <c r="D67" i="24"/>
  <c r="J67" i="24"/>
  <c r="K67" i="24"/>
  <c r="L67" i="24"/>
  <c r="M67" i="24"/>
  <c r="N67" i="24"/>
  <c r="D68" i="24"/>
  <c r="J68" i="24"/>
  <c r="K68" i="24"/>
  <c r="L68" i="24"/>
  <c r="M68" i="24"/>
  <c r="N68" i="24"/>
  <c r="D69" i="24"/>
  <c r="J69" i="24"/>
  <c r="K69" i="24"/>
  <c r="L69" i="24"/>
  <c r="M69" i="24"/>
  <c r="N69" i="24"/>
  <c r="D70" i="24"/>
  <c r="J70" i="24"/>
  <c r="K70" i="24"/>
  <c r="L70" i="24"/>
  <c r="M70" i="24"/>
  <c r="N70" i="24"/>
  <c r="D71" i="24"/>
  <c r="J71" i="24"/>
  <c r="K71" i="24"/>
  <c r="L71" i="24"/>
  <c r="M71" i="24"/>
  <c r="N71" i="24"/>
  <c r="D72" i="24"/>
  <c r="J72" i="24"/>
  <c r="K72" i="24"/>
  <c r="L72" i="24"/>
  <c r="M72" i="24"/>
  <c r="N72" i="24"/>
  <c r="D73" i="24"/>
  <c r="J73" i="24"/>
  <c r="K73" i="24"/>
  <c r="L73" i="24"/>
  <c r="M73" i="24"/>
  <c r="N73" i="24"/>
  <c r="D74" i="24"/>
  <c r="J74" i="24"/>
  <c r="K74" i="24"/>
  <c r="L74" i="24"/>
  <c r="M74" i="24"/>
  <c r="N74" i="24"/>
  <c r="D75" i="24"/>
  <c r="J75" i="24"/>
  <c r="K75" i="24"/>
  <c r="L75" i="24"/>
  <c r="M75" i="24"/>
  <c r="N75" i="24"/>
  <c r="D76" i="24"/>
  <c r="J76" i="24"/>
  <c r="K76" i="24"/>
  <c r="L76" i="24"/>
  <c r="M76" i="24"/>
  <c r="N76" i="24"/>
  <c r="D77" i="24"/>
  <c r="J77" i="24"/>
  <c r="K77" i="24"/>
  <c r="L77" i="24"/>
  <c r="M77" i="24"/>
  <c r="N77" i="24"/>
  <c r="D78" i="24"/>
  <c r="J78" i="24"/>
  <c r="K78" i="24"/>
  <c r="L78" i="24"/>
  <c r="M78" i="24"/>
  <c r="N78" i="24"/>
  <c r="D79" i="24"/>
  <c r="J79" i="24"/>
  <c r="K79" i="24"/>
  <c r="L79" i="24"/>
  <c r="M79" i="24"/>
  <c r="N79" i="24"/>
  <c r="D80" i="24"/>
  <c r="J80" i="24"/>
  <c r="K80" i="24"/>
  <c r="L80" i="24"/>
  <c r="M80" i="24"/>
  <c r="N80" i="24"/>
  <c r="D81" i="24"/>
  <c r="J81" i="24"/>
  <c r="K81" i="24"/>
  <c r="L81" i="24"/>
  <c r="M81" i="24"/>
  <c r="N81" i="24"/>
  <c r="D82" i="24"/>
  <c r="J82" i="24"/>
  <c r="K82" i="24"/>
  <c r="L82" i="24"/>
  <c r="M82" i="24"/>
  <c r="N82" i="24"/>
  <c r="D83" i="24"/>
  <c r="J83" i="24"/>
  <c r="K83" i="24"/>
  <c r="L83" i="24"/>
  <c r="M83" i="24"/>
  <c r="N83" i="24"/>
  <c r="D84" i="24"/>
  <c r="J84" i="24"/>
  <c r="K84" i="24"/>
  <c r="L84" i="24"/>
  <c r="M84" i="24"/>
  <c r="N84" i="24"/>
  <c r="D85" i="24"/>
  <c r="J85" i="24"/>
  <c r="K85" i="24"/>
  <c r="L85" i="24"/>
  <c r="M85" i="24"/>
  <c r="N85" i="24"/>
  <c r="D86" i="24"/>
  <c r="J86" i="24"/>
  <c r="K86" i="24"/>
  <c r="L86" i="24"/>
  <c r="M86" i="24"/>
  <c r="N86" i="24"/>
  <c r="D87" i="24"/>
  <c r="J87" i="24"/>
  <c r="K87" i="24"/>
  <c r="L87" i="24"/>
  <c r="M87" i="24"/>
  <c r="N87" i="24"/>
  <c r="D88" i="24"/>
  <c r="J88" i="24"/>
  <c r="K88" i="24"/>
  <c r="L88" i="24"/>
  <c r="M88" i="24"/>
  <c r="N88" i="24"/>
  <c r="D89" i="24"/>
  <c r="J89" i="24"/>
  <c r="K89" i="24"/>
  <c r="L89" i="24"/>
  <c r="M89" i="24"/>
  <c r="N89" i="24"/>
  <c r="D90" i="24"/>
  <c r="J90" i="24"/>
  <c r="K90" i="24"/>
  <c r="L90" i="24"/>
  <c r="M90" i="24"/>
  <c r="N90" i="24"/>
  <c r="D91" i="24"/>
  <c r="J91" i="24"/>
  <c r="K91" i="24"/>
  <c r="L91" i="24"/>
  <c r="M91" i="24"/>
  <c r="N91" i="24"/>
  <c r="D92" i="24"/>
  <c r="J92" i="24"/>
  <c r="K92" i="24"/>
  <c r="L92" i="24"/>
  <c r="M92" i="24"/>
  <c r="N92" i="24"/>
  <c r="D93" i="24"/>
  <c r="J93" i="24"/>
  <c r="K93" i="24"/>
  <c r="L93" i="24"/>
  <c r="M93" i="24"/>
  <c r="N93" i="24"/>
  <c r="D94" i="24"/>
  <c r="J94" i="24"/>
  <c r="K94" i="24"/>
  <c r="L94" i="24"/>
  <c r="M94" i="24"/>
  <c r="N94" i="24"/>
  <c r="D95" i="24"/>
  <c r="J95" i="24"/>
  <c r="K95" i="24"/>
  <c r="L95" i="24"/>
  <c r="M95" i="24"/>
  <c r="N95" i="24"/>
  <c r="D96" i="24"/>
  <c r="J96" i="24"/>
  <c r="K96" i="24"/>
  <c r="L96" i="24"/>
  <c r="M96" i="24"/>
  <c r="N96" i="24"/>
  <c r="D97" i="24"/>
  <c r="J97" i="24"/>
  <c r="K97" i="24"/>
  <c r="L97" i="24"/>
  <c r="M97" i="24"/>
  <c r="N97" i="24"/>
  <c r="D98" i="24"/>
  <c r="J98" i="24"/>
  <c r="K98" i="24"/>
  <c r="L98" i="24"/>
  <c r="M98" i="24"/>
  <c r="N98" i="24"/>
  <c r="D99" i="24"/>
  <c r="J99" i="24"/>
  <c r="K99" i="24"/>
  <c r="L99" i="24"/>
  <c r="M99" i="24"/>
  <c r="N99" i="24"/>
  <c r="D100" i="24"/>
  <c r="J100" i="24"/>
  <c r="K100" i="24"/>
  <c r="L100" i="24"/>
  <c r="M100" i="24"/>
  <c r="N100" i="24"/>
  <c r="D101" i="24"/>
  <c r="J101" i="24"/>
  <c r="K101" i="24"/>
  <c r="L101" i="24"/>
  <c r="M101" i="24"/>
  <c r="N101" i="24"/>
  <c r="D102" i="24"/>
  <c r="J102" i="24"/>
  <c r="K102" i="24"/>
  <c r="L102" i="24"/>
  <c r="M102" i="24"/>
  <c r="N102" i="24"/>
  <c r="D103" i="24"/>
  <c r="J103" i="24"/>
  <c r="K103" i="24"/>
  <c r="L103" i="24"/>
  <c r="M103" i="24"/>
  <c r="N103" i="24"/>
  <c r="D104" i="24"/>
  <c r="J104" i="24"/>
  <c r="K104" i="24"/>
  <c r="L104" i="24"/>
  <c r="M104" i="24"/>
  <c r="N104" i="24"/>
  <c r="D105" i="24"/>
  <c r="J105" i="24"/>
  <c r="K105" i="24"/>
  <c r="L105" i="24"/>
  <c r="M105" i="24"/>
  <c r="N105" i="24"/>
  <c r="D106" i="24"/>
  <c r="J106" i="24"/>
  <c r="K106" i="24"/>
  <c r="L106" i="24"/>
  <c r="M106" i="24"/>
  <c r="N106" i="24"/>
  <c r="D107" i="24"/>
  <c r="J107" i="24"/>
  <c r="K107" i="24"/>
  <c r="L107" i="24"/>
  <c r="M107" i="24"/>
  <c r="N107" i="24"/>
  <c r="D108" i="24"/>
  <c r="J108" i="24"/>
  <c r="K108" i="24"/>
  <c r="L108" i="24"/>
  <c r="M108" i="24"/>
  <c r="N108" i="24"/>
  <c r="D109" i="24"/>
  <c r="J109" i="24"/>
  <c r="K109" i="24"/>
  <c r="L109" i="24"/>
  <c r="M109" i="24"/>
  <c r="N109" i="24"/>
  <c r="D110" i="24"/>
  <c r="J110" i="24"/>
  <c r="K110" i="24"/>
  <c r="L110" i="24"/>
  <c r="M110" i="24"/>
  <c r="N110" i="24"/>
  <c r="D111" i="24"/>
  <c r="J111" i="24"/>
  <c r="K111" i="24"/>
  <c r="L111" i="24"/>
  <c r="M111" i="24"/>
  <c r="N111" i="24"/>
  <c r="D112" i="24"/>
  <c r="J112" i="24"/>
  <c r="K112" i="24"/>
  <c r="L112" i="24"/>
  <c r="M112" i="24"/>
  <c r="N112" i="24"/>
  <c r="D113" i="24"/>
  <c r="J113" i="24"/>
  <c r="K113" i="24"/>
  <c r="L113" i="24"/>
  <c r="M113" i="24"/>
  <c r="N113" i="24"/>
  <c r="D114" i="24"/>
  <c r="J114" i="24"/>
  <c r="K114" i="24"/>
  <c r="L114" i="24"/>
  <c r="M114" i="24"/>
  <c r="N114" i="24"/>
  <c r="D115" i="24"/>
  <c r="J115" i="24"/>
  <c r="K115" i="24"/>
  <c r="L115" i="24"/>
  <c r="M115" i="24"/>
  <c r="N115" i="24"/>
  <c r="D116" i="24"/>
  <c r="J116" i="24"/>
  <c r="K116" i="24"/>
  <c r="L116" i="24"/>
  <c r="M116" i="24"/>
  <c r="N116" i="24"/>
  <c r="D117" i="24"/>
  <c r="J117" i="24"/>
  <c r="K117" i="24"/>
  <c r="L117" i="24"/>
  <c r="M117" i="24"/>
  <c r="N117" i="24"/>
  <c r="D118" i="24"/>
  <c r="J118" i="24"/>
  <c r="K118" i="24"/>
  <c r="L118" i="24"/>
  <c r="M118" i="24"/>
  <c r="N118" i="24"/>
  <c r="D119" i="24"/>
  <c r="J119" i="24"/>
  <c r="K119" i="24"/>
  <c r="L119" i="24"/>
  <c r="M119" i="24"/>
  <c r="N119" i="24"/>
  <c r="D120" i="24"/>
  <c r="J120" i="24"/>
  <c r="K120" i="24"/>
  <c r="L120" i="24"/>
  <c r="M120" i="24"/>
  <c r="N120" i="24"/>
  <c r="D121" i="24"/>
  <c r="J121" i="24"/>
  <c r="K121" i="24"/>
  <c r="L121" i="24"/>
  <c r="M121" i="24"/>
  <c r="N121" i="24"/>
  <c r="D122" i="24"/>
  <c r="J122" i="24"/>
  <c r="K122" i="24"/>
  <c r="L122" i="24"/>
  <c r="M122" i="24"/>
  <c r="N122" i="24"/>
  <c r="D123" i="24"/>
  <c r="J123" i="24"/>
  <c r="K123" i="24"/>
  <c r="L123" i="24"/>
  <c r="M123" i="24"/>
  <c r="N123" i="24"/>
  <c r="D124" i="24"/>
  <c r="J124" i="24"/>
  <c r="K124" i="24"/>
  <c r="L124" i="24"/>
  <c r="M124" i="24"/>
  <c r="N124" i="24"/>
  <c r="D125" i="24"/>
  <c r="J125" i="24"/>
  <c r="K125" i="24"/>
  <c r="L125" i="24"/>
  <c r="M125" i="24"/>
  <c r="N125" i="24"/>
  <c r="D126" i="24"/>
  <c r="J126" i="24"/>
  <c r="K126" i="24"/>
  <c r="L126" i="24"/>
  <c r="M126" i="24"/>
  <c r="N126" i="24"/>
  <c r="D127" i="24"/>
  <c r="J127" i="24"/>
  <c r="K127" i="24"/>
  <c r="L127" i="24"/>
  <c r="M127" i="24"/>
  <c r="N127" i="24"/>
  <c r="D128" i="24"/>
  <c r="J128" i="24"/>
  <c r="K128" i="24"/>
  <c r="L128" i="24"/>
  <c r="M128" i="24"/>
  <c r="N128" i="24"/>
  <c r="D129" i="24"/>
  <c r="J129" i="24"/>
  <c r="K129" i="24"/>
  <c r="L129" i="24"/>
  <c r="M129" i="24"/>
  <c r="N129" i="24"/>
  <c r="D130" i="24"/>
  <c r="J130" i="24"/>
  <c r="K130" i="24"/>
  <c r="L130" i="24"/>
  <c r="M130" i="24"/>
  <c r="N130" i="24"/>
  <c r="D131" i="24"/>
  <c r="J131" i="24"/>
  <c r="K131" i="24"/>
  <c r="L131" i="24"/>
  <c r="M131" i="24"/>
  <c r="N131" i="24"/>
  <c r="D132" i="24"/>
  <c r="J132" i="24"/>
  <c r="K132" i="24"/>
  <c r="L132" i="24"/>
  <c r="M132" i="24"/>
  <c r="N132" i="24"/>
  <c r="D133" i="24"/>
  <c r="J133" i="24"/>
  <c r="K133" i="24"/>
  <c r="L133" i="24"/>
  <c r="M133" i="24"/>
  <c r="N133" i="24"/>
  <c r="D134" i="24"/>
  <c r="J134" i="24"/>
  <c r="K134" i="24"/>
  <c r="L134" i="24"/>
  <c r="M134" i="24"/>
  <c r="N134" i="24"/>
  <c r="D135" i="24"/>
  <c r="J135" i="24"/>
  <c r="K135" i="24"/>
  <c r="L135" i="24"/>
  <c r="M135" i="24"/>
  <c r="N135" i="24"/>
  <c r="D136" i="24"/>
  <c r="J136" i="24"/>
  <c r="K136" i="24"/>
  <c r="L136" i="24"/>
  <c r="M136" i="24"/>
  <c r="N136" i="24"/>
  <c r="D137" i="24"/>
  <c r="J137" i="24"/>
  <c r="K137" i="24"/>
  <c r="L137" i="24"/>
  <c r="M137" i="24"/>
  <c r="N137" i="24"/>
  <c r="D138" i="24"/>
  <c r="J138" i="24"/>
  <c r="K138" i="24"/>
  <c r="L138" i="24"/>
  <c r="M138" i="24"/>
  <c r="N138" i="24"/>
  <c r="D139" i="24"/>
  <c r="J139" i="24"/>
  <c r="K139" i="24"/>
  <c r="L139" i="24"/>
  <c r="M139" i="24"/>
  <c r="N139" i="24"/>
  <c r="D140" i="24"/>
  <c r="J140" i="24"/>
  <c r="K140" i="24"/>
  <c r="L140" i="24"/>
  <c r="M140" i="24"/>
  <c r="N140" i="24"/>
  <c r="D141" i="24"/>
  <c r="J141" i="24"/>
  <c r="K141" i="24"/>
  <c r="L141" i="24"/>
  <c r="M141" i="24"/>
  <c r="N141" i="24"/>
  <c r="D142" i="24"/>
  <c r="J142" i="24"/>
  <c r="K142" i="24"/>
  <c r="L142" i="24"/>
  <c r="M142" i="24"/>
  <c r="N142" i="24"/>
  <c r="D143" i="24"/>
  <c r="J143" i="24"/>
  <c r="K143" i="24"/>
  <c r="L143" i="24"/>
  <c r="M143" i="24"/>
  <c r="N143" i="24"/>
  <c r="D144" i="24"/>
  <c r="J144" i="24"/>
  <c r="K144" i="24"/>
  <c r="L144" i="24"/>
  <c r="M144" i="24"/>
  <c r="N144" i="24"/>
  <c r="D145" i="24"/>
  <c r="J145" i="24"/>
  <c r="K145" i="24"/>
  <c r="L145" i="24"/>
  <c r="M145" i="24"/>
  <c r="N145" i="24"/>
  <c r="D146" i="24"/>
  <c r="J146" i="24"/>
  <c r="K146" i="24"/>
  <c r="L146" i="24"/>
  <c r="M146" i="24"/>
  <c r="N146" i="24"/>
  <c r="D147" i="24"/>
  <c r="J147" i="24"/>
  <c r="K147" i="24"/>
  <c r="L147" i="24"/>
  <c r="M147" i="24"/>
  <c r="N147" i="24"/>
  <c r="D148" i="24"/>
  <c r="J148" i="24"/>
  <c r="K148" i="24"/>
  <c r="L148" i="24"/>
  <c r="M148" i="24"/>
  <c r="N148" i="24"/>
  <c r="D149" i="24"/>
  <c r="J149" i="24"/>
  <c r="K149" i="24"/>
  <c r="L149" i="24"/>
  <c r="M149" i="24"/>
  <c r="N149" i="24"/>
  <c r="D150" i="24"/>
  <c r="J150" i="24"/>
  <c r="K150" i="24"/>
  <c r="L150" i="24"/>
  <c r="M150" i="24"/>
  <c r="N150" i="24"/>
  <c r="D151" i="24"/>
  <c r="J151" i="24"/>
  <c r="K151" i="24"/>
  <c r="L151" i="24"/>
  <c r="M151" i="24"/>
  <c r="N151" i="24"/>
  <c r="D152" i="24"/>
  <c r="J152" i="24"/>
  <c r="K152" i="24"/>
  <c r="L152" i="24"/>
  <c r="M152" i="24"/>
  <c r="N152" i="24"/>
  <c r="D153" i="24"/>
  <c r="J153" i="24"/>
  <c r="K153" i="24"/>
  <c r="L153" i="24"/>
  <c r="M153" i="24"/>
  <c r="N153" i="24"/>
  <c r="D154" i="24"/>
  <c r="J154" i="24"/>
  <c r="K154" i="24"/>
  <c r="L154" i="24"/>
  <c r="M154" i="24"/>
  <c r="N154" i="24"/>
  <c r="D155" i="24"/>
  <c r="J155" i="24"/>
  <c r="K155" i="24"/>
  <c r="L155" i="24"/>
  <c r="M155" i="24"/>
  <c r="N155" i="24"/>
  <c r="D156" i="24"/>
  <c r="J156" i="24"/>
  <c r="K156" i="24"/>
  <c r="L156" i="24"/>
  <c r="M156" i="24"/>
  <c r="N156" i="24"/>
  <c r="D157" i="24"/>
  <c r="J157" i="24"/>
  <c r="K157" i="24"/>
  <c r="L157" i="24"/>
  <c r="M157" i="24"/>
  <c r="N157" i="24"/>
  <c r="D158" i="24"/>
  <c r="J158" i="24"/>
  <c r="K158" i="24"/>
  <c r="L158" i="24"/>
  <c r="M158" i="24"/>
  <c r="N158" i="24"/>
  <c r="D159" i="24"/>
  <c r="J159" i="24"/>
  <c r="K159" i="24"/>
  <c r="L159" i="24"/>
  <c r="M159" i="24"/>
  <c r="N159" i="24"/>
  <c r="D160" i="24"/>
  <c r="J160" i="24"/>
  <c r="K160" i="24"/>
  <c r="L160" i="24"/>
  <c r="M160" i="24"/>
  <c r="N160" i="24"/>
  <c r="D161" i="24"/>
  <c r="J161" i="24"/>
  <c r="K161" i="24"/>
  <c r="L161" i="24"/>
  <c r="M161" i="24"/>
  <c r="N161" i="24"/>
  <c r="D162" i="24"/>
  <c r="J162" i="24"/>
  <c r="K162" i="24"/>
  <c r="L162" i="24"/>
  <c r="M162" i="24"/>
  <c r="N162" i="24"/>
  <c r="D163" i="24"/>
  <c r="J163" i="24"/>
  <c r="K163" i="24"/>
  <c r="L163" i="24"/>
  <c r="M163" i="24"/>
  <c r="N163" i="24"/>
  <c r="D164" i="24"/>
  <c r="J164" i="24"/>
  <c r="K164" i="24"/>
  <c r="L164" i="24"/>
  <c r="M164" i="24"/>
  <c r="N164" i="24"/>
  <c r="D165" i="24"/>
  <c r="J165" i="24"/>
  <c r="K165" i="24"/>
  <c r="L165" i="24"/>
  <c r="M165" i="24"/>
  <c r="N165" i="24"/>
  <c r="D166" i="24"/>
  <c r="J166" i="24"/>
  <c r="K166" i="24"/>
  <c r="L166" i="24"/>
  <c r="M166" i="24"/>
  <c r="N166" i="24"/>
  <c r="D167" i="24"/>
  <c r="J167" i="24"/>
  <c r="K167" i="24"/>
  <c r="L167" i="24"/>
  <c r="M167" i="24"/>
  <c r="N167" i="24"/>
  <c r="D168" i="24"/>
  <c r="J168" i="24"/>
  <c r="K168" i="24"/>
  <c r="L168" i="24"/>
  <c r="M168" i="24"/>
  <c r="N168" i="24"/>
  <c r="D169" i="24"/>
  <c r="J169" i="24"/>
  <c r="K169" i="24"/>
  <c r="L169" i="24"/>
  <c r="M169" i="24"/>
  <c r="N169" i="24"/>
  <c r="D170" i="24"/>
  <c r="J170" i="24"/>
  <c r="K170" i="24"/>
  <c r="L170" i="24"/>
  <c r="M170" i="24"/>
  <c r="N170" i="24"/>
  <c r="D171" i="24"/>
  <c r="J171" i="24"/>
  <c r="K171" i="24"/>
  <c r="L171" i="24"/>
  <c r="M171" i="24"/>
  <c r="N171" i="24"/>
  <c r="D172" i="24"/>
  <c r="J172" i="24"/>
  <c r="K172" i="24"/>
  <c r="L172" i="24"/>
  <c r="M172" i="24"/>
  <c r="N172" i="24"/>
  <c r="D173" i="24"/>
  <c r="J173" i="24"/>
  <c r="K173" i="24"/>
  <c r="L173" i="24"/>
  <c r="M173" i="24"/>
  <c r="N173" i="24"/>
  <c r="D174" i="24"/>
  <c r="J174" i="24"/>
  <c r="K174" i="24"/>
  <c r="L174" i="24"/>
  <c r="M174" i="24"/>
  <c r="N174" i="24"/>
  <c r="D175" i="24"/>
  <c r="J175" i="24"/>
  <c r="K175" i="24"/>
  <c r="L175" i="24"/>
  <c r="M175" i="24"/>
  <c r="N175" i="24"/>
  <c r="D176" i="24"/>
  <c r="J176" i="24"/>
  <c r="K176" i="24"/>
  <c r="L176" i="24"/>
  <c r="M176" i="24"/>
  <c r="N176" i="24"/>
  <c r="D177" i="24"/>
  <c r="J177" i="24"/>
  <c r="K177" i="24"/>
  <c r="L177" i="24"/>
  <c r="M177" i="24"/>
  <c r="N177" i="24"/>
  <c r="D178" i="24"/>
  <c r="J178" i="24"/>
  <c r="K178" i="24"/>
  <c r="L178" i="24"/>
  <c r="M178" i="24"/>
  <c r="N178" i="24"/>
  <c r="D179" i="24"/>
  <c r="J179" i="24"/>
  <c r="K179" i="24"/>
  <c r="L179" i="24"/>
  <c r="M179" i="24"/>
  <c r="N179" i="24"/>
  <c r="D180" i="24"/>
  <c r="J180" i="24"/>
  <c r="K180" i="24"/>
  <c r="L180" i="24"/>
  <c r="M180" i="24"/>
  <c r="N180" i="24"/>
  <c r="D181" i="24"/>
  <c r="J181" i="24"/>
  <c r="K181" i="24"/>
  <c r="L181" i="24"/>
  <c r="M181" i="24"/>
  <c r="N181" i="24"/>
  <c r="D182" i="24"/>
  <c r="J182" i="24"/>
  <c r="K182" i="24"/>
  <c r="L182" i="24"/>
  <c r="M182" i="24"/>
  <c r="N182" i="24"/>
  <c r="D183" i="24"/>
  <c r="J183" i="24"/>
  <c r="K183" i="24"/>
  <c r="L183" i="24"/>
  <c r="M183" i="24"/>
  <c r="N183" i="24"/>
  <c r="D184" i="24"/>
  <c r="J184" i="24"/>
  <c r="K184" i="24"/>
  <c r="L184" i="24"/>
  <c r="M184" i="24"/>
  <c r="N184" i="24"/>
  <c r="D185" i="24"/>
  <c r="J185" i="24"/>
  <c r="K185" i="24"/>
  <c r="L185" i="24"/>
  <c r="M185" i="24"/>
  <c r="N185" i="24"/>
  <c r="D186" i="24"/>
  <c r="J186" i="24"/>
  <c r="K186" i="24"/>
  <c r="L186" i="24"/>
  <c r="M186" i="24"/>
  <c r="N186" i="24"/>
  <c r="D187" i="24"/>
  <c r="J187" i="24"/>
  <c r="K187" i="24"/>
  <c r="L187" i="24"/>
  <c r="M187" i="24"/>
  <c r="N187" i="24"/>
  <c r="D188" i="24"/>
  <c r="J188" i="24"/>
  <c r="K188" i="24"/>
  <c r="L188" i="24"/>
  <c r="M188" i="24"/>
  <c r="N188" i="24"/>
  <c r="D189" i="24"/>
  <c r="J189" i="24"/>
  <c r="K189" i="24"/>
  <c r="L189" i="24"/>
  <c r="M189" i="24"/>
  <c r="N189" i="24"/>
  <c r="D190" i="24"/>
  <c r="J190" i="24"/>
  <c r="K190" i="24"/>
  <c r="L190" i="24"/>
  <c r="M190" i="24"/>
  <c r="N190" i="24"/>
  <c r="D191" i="24"/>
  <c r="J191" i="24"/>
  <c r="K191" i="24"/>
  <c r="L191" i="24"/>
  <c r="M191" i="24"/>
  <c r="N191" i="24"/>
  <c r="D192" i="24"/>
  <c r="J192" i="24"/>
  <c r="K192" i="24"/>
  <c r="L192" i="24"/>
  <c r="M192" i="24"/>
  <c r="N192" i="24"/>
  <c r="D193" i="24"/>
  <c r="J193" i="24"/>
  <c r="K193" i="24"/>
  <c r="L193" i="24"/>
  <c r="M193" i="24"/>
  <c r="N193" i="24"/>
  <c r="D194" i="24"/>
  <c r="J194" i="24"/>
  <c r="K194" i="24"/>
  <c r="L194" i="24"/>
  <c r="M194" i="24"/>
  <c r="N194" i="24"/>
  <c r="D195" i="24"/>
  <c r="J195" i="24"/>
  <c r="K195" i="24"/>
  <c r="L195" i="24"/>
  <c r="M195" i="24"/>
  <c r="N195" i="24"/>
  <c r="D196" i="24"/>
  <c r="J196" i="24"/>
  <c r="K196" i="24"/>
  <c r="L196" i="24"/>
  <c r="M196" i="24"/>
  <c r="N196" i="24"/>
  <c r="D197" i="24"/>
  <c r="J197" i="24"/>
  <c r="K197" i="24"/>
  <c r="L197" i="24"/>
  <c r="M197" i="24"/>
  <c r="N197" i="24"/>
  <c r="D198" i="24"/>
  <c r="J198" i="24"/>
  <c r="K198" i="24"/>
  <c r="L198" i="24"/>
  <c r="M198" i="24"/>
  <c r="N198" i="24"/>
  <c r="D199" i="24"/>
  <c r="J199" i="24"/>
  <c r="K199" i="24"/>
  <c r="L199" i="24"/>
  <c r="M199" i="24"/>
  <c r="N199" i="24"/>
  <c r="D200" i="24"/>
  <c r="J200" i="24"/>
  <c r="K200" i="24"/>
  <c r="L200" i="24"/>
  <c r="M200" i="24"/>
  <c r="N200" i="24"/>
  <c r="D201" i="24"/>
  <c r="J201" i="24"/>
  <c r="K201" i="24"/>
  <c r="L201" i="24"/>
  <c r="M201" i="24"/>
  <c r="N201" i="24"/>
  <c r="D202" i="24"/>
  <c r="J202" i="24"/>
  <c r="K202" i="24"/>
  <c r="L202" i="24"/>
  <c r="M202" i="24"/>
  <c r="N202" i="24"/>
  <c r="D203" i="24"/>
  <c r="J203" i="24"/>
  <c r="K203" i="24"/>
  <c r="L203" i="24"/>
  <c r="M203" i="24"/>
  <c r="N203" i="24"/>
  <c r="D204" i="24"/>
  <c r="J204" i="24"/>
  <c r="K204" i="24"/>
  <c r="L204" i="24"/>
  <c r="M204" i="24"/>
  <c r="N204" i="24"/>
  <c r="D205" i="24"/>
  <c r="J205" i="24"/>
  <c r="K205" i="24"/>
  <c r="L205" i="24"/>
  <c r="M205" i="24"/>
  <c r="N205" i="24"/>
  <c r="D206" i="24"/>
  <c r="J206" i="24"/>
  <c r="K206" i="24"/>
  <c r="L206" i="24"/>
  <c r="M206" i="24"/>
  <c r="N206" i="24"/>
  <c r="D207" i="24"/>
  <c r="J207" i="24"/>
  <c r="K207" i="24"/>
  <c r="L207" i="24"/>
  <c r="M207" i="24"/>
  <c r="N207" i="24"/>
  <c r="D208" i="24"/>
  <c r="J208" i="24"/>
  <c r="K208" i="24"/>
  <c r="L208" i="24"/>
  <c r="M208" i="24"/>
  <c r="N208" i="24"/>
  <c r="D209" i="24"/>
  <c r="J209" i="24"/>
  <c r="K209" i="24"/>
  <c r="L209" i="24"/>
  <c r="M209" i="24"/>
  <c r="N209" i="24"/>
  <c r="D210" i="24"/>
  <c r="J210" i="24"/>
  <c r="K210" i="24"/>
  <c r="L210" i="24"/>
  <c r="M210" i="24"/>
  <c r="N210" i="24"/>
  <c r="D211" i="24"/>
  <c r="J211" i="24"/>
  <c r="K211" i="24"/>
  <c r="L211" i="24"/>
  <c r="M211" i="24"/>
  <c r="N211" i="24"/>
  <c r="D212" i="24"/>
  <c r="J212" i="24"/>
  <c r="K212" i="24"/>
  <c r="L212" i="24"/>
  <c r="M212" i="24"/>
  <c r="N212" i="24"/>
  <c r="D213" i="24"/>
  <c r="J213" i="24"/>
  <c r="K213" i="24"/>
  <c r="L213" i="24"/>
  <c r="M213" i="24"/>
  <c r="N213" i="24"/>
  <c r="D214" i="24"/>
  <c r="J214" i="24"/>
  <c r="K214" i="24"/>
  <c r="L214" i="24"/>
  <c r="M214" i="24"/>
  <c r="N214" i="24"/>
  <c r="D215" i="24"/>
  <c r="J215" i="24"/>
  <c r="K215" i="24"/>
  <c r="L215" i="24"/>
  <c r="M215" i="24"/>
  <c r="N215" i="24"/>
  <c r="D216" i="24"/>
  <c r="J216" i="24"/>
  <c r="K216" i="24"/>
  <c r="L216" i="24"/>
  <c r="M216" i="24"/>
  <c r="N216" i="24"/>
  <c r="D217" i="24"/>
  <c r="J217" i="24"/>
  <c r="K217" i="24"/>
  <c r="L217" i="24"/>
  <c r="M217" i="24"/>
  <c r="N217" i="24"/>
  <c r="D218" i="24"/>
  <c r="J218" i="24"/>
  <c r="K218" i="24"/>
  <c r="L218" i="24"/>
  <c r="M218" i="24"/>
  <c r="N218" i="24"/>
  <c r="D219" i="24"/>
  <c r="J219" i="24"/>
  <c r="K219" i="24"/>
  <c r="L219" i="24"/>
  <c r="M219" i="24"/>
  <c r="N219" i="24"/>
  <c r="D220" i="24"/>
  <c r="J220" i="24"/>
  <c r="K220" i="24"/>
  <c r="L220" i="24"/>
  <c r="M220" i="24"/>
  <c r="N220" i="24"/>
  <c r="D221" i="24"/>
  <c r="J221" i="24"/>
  <c r="K221" i="24"/>
  <c r="L221" i="24"/>
  <c r="M221" i="24"/>
  <c r="N221" i="24"/>
  <c r="D222" i="24"/>
  <c r="J222" i="24"/>
  <c r="K222" i="24"/>
  <c r="L222" i="24"/>
  <c r="M222" i="24"/>
  <c r="N222" i="24"/>
  <c r="D223" i="24"/>
  <c r="J223" i="24"/>
  <c r="K223" i="24"/>
  <c r="L223" i="24"/>
  <c r="M223" i="24"/>
  <c r="N223" i="24"/>
  <c r="D224" i="24"/>
  <c r="J224" i="24"/>
  <c r="K224" i="24"/>
  <c r="L224" i="24"/>
  <c r="M224" i="24"/>
  <c r="N224" i="24"/>
  <c r="D225" i="24"/>
  <c r="J225" i="24"/>
  <c r="K225" i="24"/>
  <c r="L225" i="24"/>
  <c r="M225" i="24"/>
  <c r="N225" i="24"/>
  <c r="D226" i="24"/>
  <c r="J226" i="24"/>
  <c r="K226" i="24"/>
  <c r="L226" i="24"/>
  <c r="M226" i="24"/>
  <c r="N226" i="24"/>
  <c r="D227" i="24"/>
  <c r="J227" i="24"/>
  <c r="K227" i="24"/>
  <c r="L227" i="24"/>
  <c r="M227" i="24"/>
  <c r="N227" i="24"/>
  <c r="D228" i="24"/>
  <c r="J228" i="24"/>
  <c r="K228" i="24"/>
  <c r="L228" i="24"/>
  <c r="M228" i="24"/>
  <c r="N228" i="24"/>
  <c r="D229" i="24"/>
  <c r="J229" i="24"/>
  <c r="K229" i="24"/>
  <c r="L229" i="24"/>
  <c r="M229" i="24"/>
  <c r="N229" i="24"/>
  <c r="D230" i="24"/>
  <c r="J230" i="24"/>
  <c r="K230" i="24"/>
  <c r="L230" i="24"/>
  <c r="M230" i="24"/>
  <c r="N230" i="24"/>
  <c r="D231" i="24"/>
  <c r="J231" i="24"/>
  <c r="K231" i="24"/>
  <c r="L231" i="24"/>
  <c r="M231" i="24"/>
  <c r="N231" i="24"/>
  <c r="D232" i="24"/>
  <c r="J232" i="24"/>
  <c r="K232" i="24"/>
  <c r="L232" i="24"/>
  <c r="M232" i="24"/>
  <c r="N232" i="24"/>
  <c r="D233" i="24"/>
  <c r="J233" i="24"/>
  <c r="K233" i="24"/>
  <c r="L233" i="24"/>
  <c r="M233" i="24"/>
  <c r="N233" i="24"/>
  <c r="D234" i="24"/>
  <c r="J234" i="24"/>
  <c r="K234" i="24"/>
  <c r="L234" i="24"/>
  <c r="M234" i="24"/>
  <c r="N234" i="24"/>
  <c r="D235" i="24"/>
  <c r="J235" i="24"/>
  <c r="K235" i="24"/>
  <c r="L235" i="24"/>
  <c r="M235" i="24"/>
  <c r="N235" i="24"/>
  <c r="D236" i="24"/>
  <c r="J236" i="24"/>
  <c r="K236" i="24"/>
  <c r="L236" i="24"/>
  <c r="M236" i="24"/>
  <c r="N236" i="24"/>
  <c r="D237" i="24"/>
  <c r="J237" i="24"/>
  <c r="K237" i="24"/>
  <c r="L237" i="24"/>
  <c r="M237" i="24"/>
  <c r="N237" i="24"/>
  <c r="D238" i="24"/>
  <c r="J238" i="24"/>
  <c r="K238" i="24"/>
  <c r="L238" i="24"/>
  <c r="M238" i="24"/>
  <c r="N238" i="24"/>
  <c r="D239" i="24"/>
  <c r="J239" i="24"/>
  <c r="K239" i="24"/>
  <c r="L239" i="24"/>
  <c r="M239" i="24"/>
  <c r="N239" i="24"/>
  <c r="D240" i="24"/>
  <c r="J240" i="24"/>
  <c r="K240" i="24"/>
  <c r="L240" i="24"/>
  <c r="M240" i="24"/>
  <c r="N240" i="24"/>
  <c r="D241" i="24"/>
  <c r="J241" i="24"/>
  <c r="K241" i="24"/>
  <c r="L241" i="24"/>
  <c r="M241" i="24"/>
  <c r="N241" i="24"/>
  <c r="D242" i="24"/>
  <c r="J242" i="24"/>
  <c r="K242" i="24"/>
  <c r="L242" i="24"/>
  <c r="M242" i="24"/>
  <c r="N242" i="24"/>
  <c r="D243" i="24"/>
  <c r="J243" i="24"/>
  <c r="K243" i="24"/>
  <c r="L243" i="24"/>
  <c r="M243" i="24"/>
  <c r="N243" i="24"/>
  <c r="D244" i="24"/>
  <c r="J244" i="24"/>
  <c r="K244" i="24"/>
  <c r="L244" i="24"/>
  <c r="M244" i="24"/>
  <c r="N244" i="24"/>
  <c r="D245" i="24"/>
  <c r="J245" i="24"/>
  <c r="K245" i="24"/>
  <c r="L245" i="24"/>
  <c r="M245" i="24"/>
  <c r="N245" i="24"/>
  <c r="D246" i="24"/>
  <c r="J246" i="24"/>
  <c r="K246" i="24"/>
  <c r="L246" i="24"/>
  <c r="M246" i="24"/>
  <c r="N246" i="24"/>
  <c r="D247" i="24"/>
  <c r="J247" i="24"/>
  <c r="K247" i="24"/>
  <c r="L247" i="24"/>
  <c r="M247" i="24"/>
  <c r="N247" i="24"/>
  <c r="D248" i="24"/>
  <c r="J248" i="24"/>
  <c r="K248" i="24"/>
  <c r="L248" i="24"/>
  <c r="M248" i="24"/>
  <c r="N248" i="24"/>
  <c r="D249" i="24"/>
  <c r="J249" i="24"/>
  <c r="K249" i="24"/>
  <c r="L249" i="24"/>
  <c r="M249" i="24"/>
  <c r="N249" i="24"/>
  <c r="D250" i="24"/>
  <c r="J250" i="24"/>
  <c r="K250" i="24"/>
  <c r="L250" i="24"/>
  <c r="M250" i="24"/>
  <c r="N250" i="24"/>
  <c r="D251" i="24"/>
  <c r="J251" i="24"/>
  <c r="K251" i="24"/>
  <c r="L251" i="24"/>
  <c r="M251" i="24"/>
  <c r="N251" i="24"/>
  <c r="D252" i="24"/>
  <c r="J252" i="24"/>
  <c r="K252" i="24"/>
  <c r="L252" i="24"/>
  <c r="M252" i="24"/>
  <c r="N252" i="24"/>
  <c r="D253" i="24"/>
  <c r="J253" i="24"/>
  <c r="K253" i="24"/>
  <c r="L253" i="24"/>
  <c r="M253" i="24"/>
  <c r="N253" i="24"/>
  <c r="D254" i="24"/>
  <c r="J254" i="24"/>
  <c r="K254" i="24"/>
  <c r="L254" i="24"/>
  <c r="M254" i="24"/>
  <c r="N254" i="24"/>
  <c r="N12" i="22" l="1"/>
  <c r="M12" i="22"/>
  <c r="L12" i="22"/>
  <c r="K12" i="22"/>
  <c r="J12" i="22"/>
  <c r="D12" i="22"/>
  <c r="L9" i="22"/>
  <c r="J9" i="22"/>
  <c r="D9" i="22"/>
  <c r="K9" i="22"/>
  <c r="N9" i="22"/>
  <c r="M9" i="22"/>
  <c r="J16" i="24"/>
  <c r="L16" i="24"/>
  <c r="M16" i="24"/>
  <c r="N16" i="24"/>
  <c r="D16" i="24"/>
  <c r="K16" i="24"/>
  <c r="M23" i="22"/>
  <c r="N23" i="22"/>
  <c r="L23" i="22"/>
  <c r="K23" i="22"/>
  <c r="J23" i="22"/>
  <c r="D23" i="22"/>
  <c r="D22" i="22"/>
  <c r="J22" i="22"/>
  <c r="K22" i="22"/>
  <c r="L22" i="22"/>
  <c r="M22" i="22"/>
  <c r="M13" i="24"/>
  <c r="K13" i="24"/>
  <c r="D13" i="24"/>
  <c r="N13" i="24"/>
  <c r="J13" i="24"/>
  <c r="N29" i="22"/>
  <c r="M29" i="22"/>
  <c r="L29" i="22"/>
  <c r="K29" i="22"/>
  <c r="J29" i="22"/>
  <c r="D29" i="22"/>
  <c r="J7" i="24"/>
  <c r="D7" i="24"/>
  <c r="M7" i="24"/>
  <c r="N7" i="24"/>
  <c r="L7" i="24"/>
  <c r="K7" i="24"/>
  <c r="K10" i="24"/>
  <c r="D10" i="24"/>
  <c r="J10" i="24"/>
  <c r="L10" i="24"/>
  <c r="M10" i="24"/>
  <c r="N10" i="24"/>
  <c r="B26" i="22" a="1"/>
  <c r="B26" i="22" s="1"/>
  <c r="B19" i="22" a="1"/>
  <c r="B19" i="22" s="1"/>
  <c r="D6" i="22"/>
  <c r="J6" i="22"/>
  <c r="K6" i="22"/>
  <c r="L6" i="22"/>
  <c r="M6" i="22"/>
  <c r="N6" i="22"/>
  <c r="D16" i="22"/>
  <c r="J16" i="22"/>
  <c r="K16" i="22"/>
  <c r="L16" i="22"/>
  <c r="M16" i="22"/>
  <c r="N16" i="22"/>
  <c r="D18" i="22"/>
  <c r="J18" i="22"/>
  <c r="K18" i="22"/>
  <c r="L18" i="22"/>
  <c r="M18" i="22"/>
  <c r="N18" i="22"/>
  <c r="D24" i="22"/>
  <c r="J24" i="22"/>
  <c r="K24" i="22"/>
  <c r="L24" i="22"/>
  <c r="M24" i="22"/>
  <c r="N24" i="22"/>
  <c r="D25" i="22"/>
  <c r="J25" i="22"/>
  <c r="K25" i="22"/>
  <c r="L25" i="22"/>
  <c r="M25" i="22"/>
  <c r="N25" i="22"/>
  <c r="D30" i="22"/>
  <c r="J30" i="22"/>
  <c r="K30" i="22"/>
  <c r="L30" i="22"/>
  <c r="M30" i="22"/>
  <c r="N30" i="22"/>
  <c r="D31" i="22"/>
  <c r="J31" i="22"/>
  <c r="K31" i="22"/>
  <c r="L31" i="22"/>
  <c r="M31" i="22"/>
  <c r="N31" i="22"/>
  <c r="D32" i="22"/>
  <c r="J32" i="22"/>
  <c r="K32" i="22"/>
  <c r="L32" i="22"/>
  <c r="M32" i="22"/>
  <c r="N32" i="22"/>
  <c r="D33" i="22"/>
  <c r="J33" i="22"/>
  <c r="K33" i="22"/>
  <c r="L33" i="22"/>
  <c r="M33" i="22"/>
  <c r="N33" i="22"/>
  <c r="D34" i="22"/>
  <c r="J34" i="22"/>
  <c r="K34" i="22"/>
  <c r="L34" i="22"/>
  <c r="M34" i="22"/>
  <c r="N34" i="22"/>
  <c r="D35" i="22"/>
  <c r="J35" i="22"/>
  <c r="K35" i="22"/>
  <c r="L35" i="22"/>
  <c r="M35" i="22"/>
  <c r="N35" i="22"/>
  <c r="D36" i="22"/>
  <c r="J36" i="22"/>
  <c r="K36" i="22"/>
  <c r="L36" i="22"/>
  <c r="M36" i="22"/>
  <c r="N36" i="22"/>
  <c r="D37" i="22"/>
  <c r="J37" i="22"/>
  <c r="K37" i="22"/>
  <c r="L37" i="22"/>
  <c r="M37" i="22"/>
  <c r="N37" i="22"/>
  <c r="D38" i="22"/>
  <c r="J38" i="22"/>
  <c r="K38" i="22"/>
  <c r="L38" i="22"/>
  <c r="M38" i="22"/>
  <c r="N38" i="22"/>
  <c r="D39" i="22"/>
  <c r="J39" i="22"/>
  <c r="K39" i="22"/>
  <c r="L39" i="22"/>
  <c r="M39" i="22"/>
  <c r="N39" i="22"/>
  <c r="D40" i="22"/>
  <c r="J40" i="22"/>
  <c r="K40" i="22"/>
  <c r="L40" i="22"/>
  <c r="M40" i="22"/>
  <c r="N40" i="22"/>
  <c r="D41" i="22"/>
  <c r="J41" i="22"/>
  <c r="K41" i="22"/>
  <c r="L41" i="22"/>
  <c r="M41" i="22"/>
  <c r="N41" i="22"/>
  <c r="D42" i="22"/>
  <c r="J42" i="22"/>
  <c r="K42" i="22"/>
  <c r="L42" i="22"/>
  <c r="M42" i="22"/>
  <c r="N42" i="22"/>
  <c r="D43" i="22"/>
  <c r="J43" i="22"/>
  <c r="K43" i="22"/>
  <c r="L43" i="22"/>
  <c r="M43" i="22"/>
  <c r="N43" i="22"/>
  <c r="D44" i="22"/>
  <c r="J44" i="22"/>
  <c r="K44" i="22"/>
  <c r="L44" i="22"/>
  <c r="M44" i="22"/>
  <c r="N44" i="22"/>
  <c r="D45" i="22"/>
  <c r="J45" i="22"/>
  <c r="K45" i="22"/>
  <c r="L45" i="22"/>
  <c r="M45" i="22"/>
  <c r="N45" i="22"/>
  <c r="D46" i="22"/>
  <c r="J46" i="22"/>
  <c r="K46" i="22"/>
  <c r="L46" i="22"/>
  <c r="M46" i="22"/>
  <c r="N46" i="22"/>
  <c r="D47" i="22"/>
  <c r="J47" i="22"/>
  <c r="K47" i="22"/>
  <c r="L47" i="22"/>
  <c r="M47" i="22"/>
  <c r="N47" i="22"/>
  <c r="D48" i="22"/>
  <c r="J48" i="22"/>
  <c r="K48" i="22"/>
  <c r="L48" i="22"/>
  <c r="M48" i="22"/>
  <c r="N48" i="22"/>
  <c r="D49" i="22"/>
  <c r="J49" i="22"/>
  <c r="K49" i="22"/>
  <c r="L49" i="22"/>
  <c r="M49" i="22"/>
  <c r="N49" i="22"/>
  <c r="D50" i="22"/>
  <c r="J50" i="22"/>
  <c r="K50" i="22"/>
  <c r="L50" i="22"/>
  <c r="M50" i="22"/>
  <c r="N50" i="22"/>
  <c r="D51" i="22"/>
  <c r="J51" i="22"/>
  <c r="K51" i="22"/>
  <c r="L51" i="22"/>
  <c r="M51" i="22"/>
  <c r="N51" i="22"/>
  <c r="D52" i="22"/>
  <c r="J52" i="22"/>
  <c r="K52" i="22"/>
  <c r="L52" i="22"/>
  <c r="M52" i="22"/>
  <c r="N52" i="22"/>
  <c r="D53" i="22"/>
  <c r="J53" i="22"/>
  <c r="K53" i="22"/>
  <c r="L53" i="22"/>
  <c r="M53" i="22"/>
  <c r="N53" i="22"/>
  <c r="D54" i="22"/>
  <c r="J54" i="22"/>
  <c r="K54" i="22"/>
  <c r="L54" i="22"/>
  <c r="M54" i="22"/>
  <c r="N54" i="22"/>
  <c r="D55" i="22"/>
  <c r="J55" i="22"/>
  <c r="K55" i="22"/>
  <c r="L55" i="22"/>
  <c r="M55" i="22"/>
  <c r="N55" i="22"/>
  <c r="D56" i="22"/>
  <c r="J56" i="22"/>
  <c r="K56" i="22"/>
  <c r="L56" i="22"/>
  <c r="M56" i="22"/>
  <c r="N56" i="22"/>
  <c r="D57" i="22"/>
  <c r="J57" i="22"/>
  <c r="K57" i="22"/>
  <c r="L57" i="22"/>
  <c r="M57" i="22"/>
  <c r="N57" i="22"/>
  <c r="D58" i="22"/>
  <c r="J58" i="22"/>
  <c r="K58" i="22"/>
  <c r="L58" i="22"/>
  <c r="M58" i="22"/>
  <c r="N58" i="22"/>
  <c r="D59" i="22"/>
  <c r="J59" i="22"/>
  <c r="K59" i="22"/>
  <c r="L59" i="22"/>
  <c r="M59" i="22"/>
  <c r="N59" i="22"/>
  <c r="D60" i="22"/>
  <c r="J60" i="22"/>
  <c r="K60" i="22"/>
  <c r="L60" i="22"/>
  <c r="M60" i="22"/>
  <c r="N60" i="22"/>
  <c r="D61" i="22"/>
  <c r="J61" i="22"/>
  <c r="K61" i="22"/>
  <c r="L61" i="22"/>
  <c r="M61" i="22"/>
  <c r="N61" i="22"/>
  <c r="D62" i="22"/>
  <c r="J62" i="22"/>
  <c r="K62" i="22"/>
  <c r="L62" i="22"/>
  <c r="M62" i="22"/>
  <c r="N62" i="22"/>
  <c r="D63" i="22"/>
  <c r="J63" i="22"/>
  <c r="K63" i="22"/>
  <c r="L63" i="22"/>
  <c r="M63" i="22"/>
  <c r="N63" i="22"/>
  <c r="D64" i="22"/>
  <c r="J64" i="22"/>
  <c r="K64" i="22"/>
  <c r="L64" i="22"/>
  <c r="M64" i="22"/>
  <c r="N64" i="22"/>
  <c r="D65" i="22"/>
  <c r="J65" i="22"/>
  <c r="K65" i="22"/>
  <c r="L65" i="22"/>
  <c r="M65" i="22"/>
  <c r="N65" i="22"/>
  <c r="D66" i="22"/>
  <c r="J66" i="22"/>
  <c r="K66" i="22"/>
  <c r="L66" i="22"/>
  <c r="M66" i="22"/>
  <c r="N66" i="22"/>
  <c r="D67" i="22"/>
  <c r="J67" i="22"/>
  <c r="K67" i="22"/>
  <c r="L67" i="22"/>
  <c r="M67" i="22"/>
  <c r="N67" i="22"/>
  <c r="D68" i="22"/>
  <c r="J68" i="22"/>
  <c r="K68" i="22"/>
  <c r="L68" i="22"/>
  <c r="M68" i="22"/>
  <c r="N68" i="22"/>
  <c r="D69" i="22"/>
  <c r="J69" i="22"/>
  <c r="K69" i="22"/>
  <c r="L69" i="22"/>
  <c r="M69" i="22"/>
  <c r="N69" i="22"/>
  <c r="D70" i="22"/>
  <c r="J70" i="22"/>
  <c r="K70" i="22"/>
  <c r="L70" i="22"/>
  <c r="M70" i="22"/>
  <c r="N70" i="22"/>
  <c r="D71" i="22"/>
  <c r="J71" i="22"/>
  <c r="K71" i="22"/>
  <c r="L71" i="22"/>
  <c r="M71" i="22"/>
  <c r="N71" i="22"/>
  <c r="D72" i="22"/>
  <c r="J72" i="22"/>
  <c r="K72" i="22"/>
  <c r="L72" i="22"/>
  <c r="M72" i="22"/>
  <c r="N72" i="22"/>
  <c r="D73" i="22"/>
  <c r="J73" i="22"/>
  <c r="K73" i="22"/>
  <c r="L73" i="22"/>
  <c r="M73" i="22"/>
  <c r="N73" i="22"/>
  <c r="D74" i="22"/>
  <c r="J74" i="22"/>
  <c r="K74" i="22"/>
  <c r="L74" i="22"/>
  <c r="M74" i="22"/>
  <c r="N74" i="22"/>
  <c r="D75" i="22"/>
  <c r="J75" i="22"/>
  <c r="K75" i="22"/>
  <c r="L75" i="22"/>
  <c r="M75" i="22"/>
  <c r="N75" i="22"/>
  <c r="D76" i="22"/>
  <c r="J76" i="22"/>
  <c r="K76" i="22"/>
  <c r="L76" i="22"/>
  <c r="M76" i="22"/>
  <c r="N76" i="22"/>
  <c r="D77" i="22"/>
  <c r="J77" i="22"/>
  <c r="K77" i="22"/>
  <c r="L77" i="22"/>
  <c r="M77" i="22"/>
  <c r="N77" i="22"/>
  <c r="D78" i="22"/>
  <c r="J78" i="22"/>
  <c r="K78" i="22"/>
  <c r="L78" i="22"/>
  <c r="M78" i="22"/>
  <c r="N78" i="22"/>
  <c r="D79" i="22"/>
  <c r="J79" i="22"/>
  <c r="K79" i="22"/>
  <c r="L79" i="22"/>
  <c r="M79" i="22"/>
  <c r="N79" i="22"/>
  <c r="D80" i="22"/>
  <c r="J80" i="22"/>
  <c r="K80" i="22"/>
  <c r="L80" i="22"/>
  <c r="M80" i="22"/>
  <c r="N80" i="22"/>
  <c r="D81" i="22"/>
  <c r="J81" i="22"/>
  <c r="K81" i="22"/>
  <c r="L81" i="22"/>
  <c r="M81" i="22"/>
  <c r="N81" i="22"/>
  <c r="D82" i="22"/>
  <c r="J82" i="22"/>
  <c r="K82" i="22"/>
  <c r="L82" i="22"/>
  <c r="M82" i="22"/>
  <c r="N82" i="22"/>
  <c r="D83" i="22"/>
  <c r="J83" i="22"/>
  <c r="K83" i="22"/>
  <c r="L83" i="22"/>
  <c r="M83" i="22"/>
  <c r="N83" i="22"/>
  <c r="D84" i="22"/>
  <c r="J84" i="22"/>
  <c r="K84" i="22"/>
  <c r="L84" i="22"/>
  <c r="M84" i="22"/>
  <c r="N84" i="22"/>
  <c r="D85" i="22"/>
  <c r="J85" i="22"/>
  <c r="K85" i="22"/>
  <c r="L85" i="22"/>
  <c r="M85" i="22"/>
  <c r="N85" i="22"/>
  <c r="D86" i="22"/>
  <c r="J86" i="22"/>
  <c r="K86" i="22"/>
  <c r="L86" i="22"/>
  <c r="M86" i="22"/>
  <c r="N86" i="22"/>
  <c r="D87" i="22"/>
  <c r="J87" i="22"/>
  <c r="K87" i="22"/>
  <c r="L87" i="22"/>
  <c r="M87" i="22"/>
  <c r="N87" i="22"/>
  <c r="D88" i="22"/>
  <c r="J88" i="22"/>
  <c r="K88" i="22"/>
  <c r="L88" i="22"/>
  <c r="M88" i="22"/>
  <c r="N88" i="22"/>
  <c r="D89" i="22"/>
  <c r="J89" i="22"/>
  <c r="K89" i="22"/>
  <c r="L89" i="22"/>
  <c r="M89" i="22"/>
  <c r="N89" i="22"/>
  <c r="D90" i="22"/>
  <c r="J90" i="22"/>
  <c r="K90" i="22"/>
  <c r="L90" i="22"/>
  <c r="M90" i="22"/>
  <c r="N90" i="22"/>
  <c r="D91" i="22"/>
  <c r="J91" i="22"/>
  <c r="K91" i="22"/>
  <c r="L91" i="22"/>
  <c r="M91" i="22"/>
  <c r="N91" i="22"/>
  <c r="D92" i="22"/>
  <c r="J92" i="22"/>
  <c r="K92" i="22"/>
  <c r="L92" i="22"/>
  <c r="M92" i="22"/>
  <c r="N92" i="22"/>
  <c r="D93" i="22"/>
  <c r="J93" i="22"/>
  <c r="K93" i="22"/>
  <c r="L93" i="22"/>
  <c r="M93" i="22"/>
  <c r="N93" i="22"/>
  <c r="D94" i="22"/>
  <c r="J94" i="22"/>
  <c r="K94" i="22"/>
  <c r="L94" i="22"/>
  <c r="M94" i="22"/>
  <c r="N94" i="22"/>
  <c r="D95" i="22"/>
  <c r="J95" i="22"/>
  <c r="K95" i="22"/>
  <c r="L95" i="22"/>
  <c r="M95" i="22"/>
  <c r="N95" i="22"/>
  <c r="D96" i="22"/>
  <c r="J96" i="22"/>
  <c r="K96" i="22"/>
  <c r="L96" i="22"/>
  <c r="M96" i="22"/>
  <c r="N96" i="22"/>
  <c r="D97" i="22"/>
  <c r="J97" i="22"/>
  <c r="K97" i="22"/>
  <c r="L97" i="22"/>
  <c r="M97" i="22"/>
  <c r="N97" i="22"/>
  <c r="D98" i="22"/>
  <c r="J98" i="22"/>
  <c r="K98" i="22"/>
  <c r="L98" i="22"/>
  <c r="M98" i="22"/>
  <c r="N98" i="22"/>
  <c r="D99" i="22"/>
  <c r="J99" i="22"/>
  <c r="K99" i="22"/>
  <c r="L99" i="22"/>
  <c r="M99" i="22"/>
  <c r="N99" i="22"/>
  <c r="D100" i="22"/>
  <c r="J100" i="22"/>
  <c r="K100" i="22"/>
  <c r="L100" i="22"/>
  <c r="M100" i="22"/>
  <c r="N100" i="22"/>
  <c r="D101" i="22"/>
  <c r="J101" i="22"/>
  <c r="K101" i="22"/>
  <c r="L101" i="22"/>
  <c r="M101" i="22"/>
  <c r="N101" i="22"/>
  <c r="D102" i="22"/>
  <c r="J102" i="22"/>
  <c r="K102" i="22"/>
  <c r="L102" i="22"/>
  <c r="M102" i="22"/>
  <c r="N102" i="22"/>
  <c r="D103" i="22"/>
  <c r="J103" i="22"/>
  <c r="K103" i="22"/>
  <c r="L103" i="22"/>
  <c r="M103" i="22"/>
  <c r="N103" i="22"/>
  <c r="D104" i="22"/>
  <c r="J104" i="22"/>
  <c r="K104" i="22"/>
  <c r="L104" i="22"/>
  <c r="M104" i="22"/>
  <c r="N104" i="22"/>
  <c r="D105" i="22"/>
  <c r="J105" i="22"/>
  <c r="K105" i="22"/>
  <c r="L105" i="22"/>
  <c r="M105" i="22"/>
  <c r="N105" i="22"/>
  <c r="D106" i="22"/>
  <c r="J106" i="22"/>
  <c r="K106" i="22"/>
  <c r="L106" i="22"/>
  <c r="M106" i="22"/>
  <c r="N106" i="22"/>
  <c r="D107" i="22"/>
  <c r="J107" i="22"/>
  <c r="K107" i="22"/>
  <c r="L107" i="22"/>
  <c r="M107" i="22"/>
  <c r="N107" i="22"/>
  <c r="D108" i="22"/>
  <c r="J108" i="22"/>
  <c r="K108" i="22"/>
  <c r="L108" i="22"/>
  <c r="M108" i="22"/>
  <c r="N108" i="22"/>
  <c r="D109" i="22"/>
  <c r="J109" i="22"/>
  <c r="K109" i="22"/>
  <c r="L109" i="22"/>
  <c r="M109" i="22"/>
  <c r="N109" i="22"/>
  <c r="D110" i="22"/>
  <c r="J110" i="22"/>
  <c r="K110" i="22"/>
  <c r="L110" i="22"/>
  <c r="M110" i="22"/>
  <c r="N110" i="22"/>
  <c r="D111" i="22"/>
  <c r="J111" i="22"/>
  <c r="K111" i="22"/>
  <c r="L111" i="22"/>
  <c r="M111" i="22"/>
  <c r="N111" i="22"/>
  <c r="D112" i="22"/>
  <c r="J112" i="22"/>
  <c r="K112" i="22"/>
  <c r="L112" i="22"/>
  <c r="M112" i="22"/>
  <c r="N112" i="22"/>
  <c r="D113" i="22"/>
  <c r="J113" i="22"/>
  <c r="K113" i="22"/>
  <c r="L113" i="22"/>
  <c r="M113" i="22"/>
  <c r="N113" i="22"/>
  <c r="D114" i="22"/>
  <c r="J114" i="22"/>
  <c r="K114" i="22"/>
  <c r="L114" i="22"/>
  <c r="M114" i="22"/>
  <c r="N114" i="22"/>
  <c r="D115" i="22"/>
  <c r="J115" i="22"/>
  <c r="K115" i="22"/>
  <c r="L115" i="22"/>
  <c r="M115" i="22"/>
  <c r="N115" i="22"/>
  <c r="D116" i="22"/>
  <c r="J116" i="22"/>
  <c r="K116" i="22"/>
  <c r="L116" i="22"/>
  <c r="M116" i="22"/>
  <c r="N116" i="22"/>
  <c r="D117" i="22"/>
  <c r="J117" i="22"/>
  <c r="K117" i="22"/>
  <c r="L117" i="22"/>
  <c r="M117" i="22"/>
  <c r="N117" i="22"/>
  <c r="D118" i="22"/>
  <c r="J118" i="22"/>
  <c r="K118" i="22"/>
  <c r="L118" i="22"/>
  <c r="M118" i="22"/>
  <c r="N118" i="22"/>
  <c r="D119" i="22"/>
  <c r="J119" i="22"/>
  <c r="K119" i="22"/>
  <c r="L119" i="22"/>
  <c r="M119" i="22"/>
  <c r="N119" i="22"/>
  <c r="D120" i="22"/>
  <c r="J120" i="22"/>
  <c r="K120" i="22"/>
  <c r="L120" i="22"/>
  <c r="M120" i="22"/>
  <c r="N120" i="22"/>
  <c r="D121" i="22"/>
  <c r="J121" i="22"/>
  <c r="K121" i="22"/>
  <c r="L121" i="22"/>
  <c r="M121" i="22"/>
  <c r="N121" i="22"/>
  <c r="D122" i="22"/>
  <c r="J122" i="22"/>
  <c r="K122" i="22"/>
  <c r="L122" i="22"/>
  <c r="M122" i="22"/>
  <c r="N122" i="22"/>
  <c r="D123" i="22"/>
  <c r="J123" i="22"/>
  <c r="K123" i="22"/>
  <c r="L123" i="22"/>
  <c r="M123" i="22"/>
  <c r="N123" i="22"/>
  <c r="D124" i="22"/>
  <c r="J124" i="22"/>
  <c r="K124" i="22"/>
  <c r="L124" i="22"/>
  <c r="M124" i="22"/>
  <c r="N124" i="22"/>
  <c r="D125" i="22"/>
  <c r="J125" i="22"/>
  <c r="K125" i="22"/>
  <c r="L125" i="22"/>
  <c r="M125" i="22"/>
  <c r="N125" i="22"/>
  <c r="D126" i="22"/>
  <c r="J126" i="22"/>
  <c r="K126" i="22"/>
  <c r="L126" i="22"/>
  <c r="M126" i="22"/>
  <c r="N126" i="22"/>
  <c r="D127" i="22"/>
  <c r="J127" i="22"/>
  <c r="K127" i="22"/>
  <c r="L127" i="22"/>
  <c r="M127" i="22"/>
  <c r="N127" i="22"/>
  <c r="D128" i="22"/>
  <c r="J128" i="22"/>
  <c r="K128" i="22"/>
  <c r="L128" i="22"/>
  <c r="M128" i="22"/>
  <c r="N128" i="22"/>
  <c r="D129" i="22"/>
  <c r="J129" i="22"/>
  <c r="K129" i="22"/>
  <c r="L129" i="22"/>
  <c r="M129" i="22"/>
  <c r="N129" i="22"/>
  <c r="D130" i="22"/>
  <c r="J130" i="22"/>
  <c r="K130" i="22"/>
  <c r="L130" i="22"/>
  <c r="M130" i="22"/>
  <c r="N130" i="22"/>
  <c r="D131" i="22"/>
  <c r="J131" i="22"/>
  <c r="K131" i="22"/>
  <c r="L131" i="22"/>
  <c r="M131" i="22"/>
  <c r="N131" i="22"/>
  <c r="D132" i="22"/>
  <c r="J132" i="22"/>
  <c r="K132" i="22"/>
  <c r="L132" i="22"/>
  <c r="M132" i="22"/>
  <c r="N132" i="22"/>
  <c r="D133" i="22"/>
  <c r="J133" i="22"/>
  <c r="K133" i="22"/>
  <c r="L133" i="22"/>
  <c r="M133" i="22"/>
  <c r="N133" i="22"/>
  <c r="D134" i="22"/>
  <c r="J134" i="22"/>
  <c r="K134" i="22"/>
  <c r="L134" i="22"/>
  <c r="M134" i="22"/>
  <c r="N134" i="22"/>
  <c r="D135" i="22"/>
  <c r="J135" i="22"/>
  <c r="K135" i="22"/>
  <c r="L135" i="22"/>
  <c r="M135" i="22"/>
  <c r="N135" i="22"/>
  <c r="D136" i="22"/>
  <c r="J136" i="22"/>
  <c r="K136" i="22"/>
  <c r="L136" i="22"/>
  <c r="M136" i="22"/>
  <c r="N136" i="22"/>
  <c r="D137" i="22"/>
  <c r="J137" i="22"/>
  <c r="K137" i="22"/>
  <c r="L137" i="22"/>
  <c r="M137" i="22"/>
  <c r="N137" i="22"/>
  <c r="D138" i="22"/>
  <c r="J138" i="22"/>
  <c r="K138" i="22"/>
  <c r="L138" i="22"/>
  <c r="M138" i="22"/>
  <c r="N138" i="22"/>
  <c r="D139" i="22"/>
  <c r="J139" i="22"/>
  <c r="K139" i="22"/>
  <c r="L139" i="22"/>
  <c r="M139" i="22"/>
  <c r="N139" i="22"/>
  <c r="D140" i="22"/>
  <c r="J140" i="22"/>
  <c r="K140" i="22"/>
  <c r="L140" i="22"/>
  <c r="M140" i="22"/>
  <c r="N140" i="22"/>
  <c r="D141" i="22"/>
  <c r="J141" i="22"/>
  <c r="K141" i="22"/>
  <c r="L141" i="22"/>
  <c r="M141" i="22"/>
  <c r="N141" i="22"/>
  <c r="D142" i="22"/>
  <c r="J142" i="22"/>
  <c r="K142" i="22"/>
  <c r="L142" i="22"/>
  <c r="M142" i="22"/>
  <c r="N142" i="22"/>
  <c r="D143" i="22"/>
  <c r="J143" i="22"/>
  <c r="K143" i="22"/>
  <c r="L143" i="22"/>
  <c r="M143" i="22"/>
  <c r="N143" i="22"/>
  <c r="D144" i="22"/>
  <c r="J144" i="22"/>
  <c r="K144" i="22"/>
  <c r="L144" i="22"/>
  <c r="M144" i="22"/>
  <c r="N144" i="22"/>
  <c r="D145" i="22"/>
  <c r="J145" i="22"/>
  <c r="K145" i="22"/>
  <c r="L145" i="22"/>
  <c r="M145" i="22"/>
  <c r="N145" i="22"/>
  <c r="D146" i="22"/>
  <c r="J146" i="22"/>
  <c r="K146" i="22"/>
  <c r="L146" i="22"/>
  <c r="M146" i="22"/>
  <c r="N146" i="22"/>
  <c r="D147" i="22"/>
  <c r="J147" i="22"/>
  <c r="K147" i="22"/>
  <c r="L147" i="22"/>
  <c r="M147" i="22"/>
  <c r="N147" i="22"/>
  <c r="D148" i="22"/>
  <c r="J148" i="22"/>
  <c r="K148" i="22"/>
  <c r="L148" i="22"/>
  <c r="M148" i="22"/>
  <c r="N148" i="22"/>
  <c r="D149" i="22"/>
  <c r="J149" i="22"/>
  <c r="K149" i="22"/>
  <c r="L149" i="22"/>
  <c r="M149" i="22"/>
  <c r="N149" i="22"/>
  <c r="D150" i="22"/>
  <c r="J150" i="22"/>
  <c r="K150" i="22"/>
  <c r="L150" i="22"/>
  <c r="M150" i="22"/>
  <c r="N150" i="22"/>
  <c r="D151" i="22"/>
  <c r="J151" i="22"/>
  <c r="K151" i="22"/>
  <c r="L151" i="22"/>
  <c r="M151" i="22"/>
  <c r="N151" i="22"/>
  <c r="D152" i="22"/>
  <c r="J152" i="22"/>
  <c r="K152" i="22"/>
  <c r="L152" i="22"/>
  <c r="M152" i="22"/>
  <c r="N152" i="22"/>
  <c r="D153" i="22"/>
  <c r="J153" i="22"/>
  <c r="K153" i="22"/>
  <c r="L153" i="22"/>
  <c r="M153" i="22"/>
  <c r="N153" i="22"/>
  <c r="D154" i="22"/>
  <c r="J154" i="22"/>
  <c r="K154" i="22"/>
  <c r="L154" i="22"/>
  <c r="M154" i="22"/>
  <c r="N154" i="22"/>
  <c r="D155" i="22"/>
  <c r="J155" i="22"/>
  <c r="K155" i="22"/>
  <c r="L155" i="22"/>
  <c r="M155" i="22"/>
  <c r="N155" i="22"/>
  <c r="D156" i="22"/>
  <c r="J156" i="22"/>
  <c r="K156" i="22"/>
  <c r="L156" i="22"/>
  <c r="M156" i="22"/>
  <c r="N156" i="22"/>
  <c r="D157" i="22"/>
  <c r="J157" i="22"/>
  <c r="K157" i="22"/>
  <c r="L157" i="22"/>
  <c r="M157" i="22"/>
  <c r="N157" i="22"/>
  <c r="D158" i="22"/>
  <c r="J158" i="22"/>
  <c r="K158" i="22"/>
  <c r="L158" i="22"/>
  <c r="M158" i="22"/>
  <c r="N158" i="22"/>
  <c r="D159" i="22"/>
  <c r="J159" i="22"/>
  <c r="K159" i="22"/>
  <c r="L159" i="22"/>
  <c r="M159" i="22"/>
  <c r="N159" i="22"/>
  <c r="D160" i="22"/>
  <c r="J160" i="22"/>
  <c r="K160" i="22"/>
  <c r="L160" i="22"/>
  <c r="M160" i="22"/>
  <c r="N160" i="22"/>
  <c r="D161" i="22"/>
  <c r="J161" i="22"/>
  <c r="K161" i="22"/>
  <c r="L161" i="22"/>
  <c r="M161" i="22"/>
  <c r="N161" i="22"/>
  <c r="D162" i="22"/>
  <c r="J162" i="22"/>
  <c r="K162" i="22"/>
  <c r="L162" i="22"/>
  <c r="M162" i="22"/>
  <c r="N162" i="22"/>
  <c r="D163" i="22"/>
  <c r="J163" i="22"/>
  <c r="K163" i="22"/>
  <c r="L163" i="22"/>
  <c r="M163" i="22"/>
  <c r="N163" i="22"/>
  <c r="D164" i="22"/>
  <c r="J164" i="22"/>
  <c r="K164" i="22"/>
  <c r="L164" i="22"/>
  <c r="M164" i="22"/>
  <c r="N164" i="22"/>
  <c r="D165" i="22"/>
  <c r="J165" i="22"/>
  <c r="K165" i="22"/>
  <c r="L165" i="22"/>
  <c r="M165" i="22"/>
  <c r="N165" i="22"/>
  <c r="D166" i="22"/>
  <c r="J166" i="22"/>
  <c r="K166" i="22"/>
  <c r="L166" i="22"/>
  <c r="M166" i="22"/>
  <c r="N166" i="22"/>
  <c r="D167" i="22"/>
  <c r="J167" i="22"/>
  <c r="K167" i="22"/>
  <c r="L167" i="22"/>
  <c r="M167" i="22"/>
  <c r="N167" i="22"/>
  <c r="D168" i="22"/>
  <c r="J168" i="22"/>
  <c r="K168" i="22"/>
  <c r="L168" i="22"/>
  <c r="M168" i="22"/>
  <c r="N168" i="22"/>
  <c r="D169" i="22"/>
  <c r="J169" i="22"/>
  <c r="K169" i="22"/>
  <c r="L169" i="22"/>
  <c r="M169" i="22"/>
  <c r="N169" i="22"/>
  <c r="D170" i="22"/>
  <c r="J170" i="22"/>
  <c r="K170" i="22"/>
  <c r="L170" i="22"/>
  <c r="M170" i="22"/>
  <c r="N170" i="22"/>
  <c r="D171" i="22"/>
  <c r="J171" i="22"/>
  <c r="K171" i="22"/>
  <c r="L171" i="22"/>
  <c r="M171" i="22"/>
  <c r="N171" i="22"/>
  <c r="D172" i="22"/>
  <c r="J172" i="22"/>
  <c r="K172" i="22"/>
  <c r="L172" i="22"/>
  <c r="M172" i="22"/>
  <c r="N172" i="22"/>
  <c r="D173" i="22"/>
  <c r="J173" i="22"/>
  <c r="K173" i="22"/>
  <c r="L173" i="22"/>
  <c r="M173" i="22"/>
  <c r="N173" i="22"/>
  <c r="D174" i="22"/>
  <c r="J174" i="22"/>
  <c r="K174" i="22"/>
  <c r="L174" i="22"/>
  <c r="M174" i="22"/>
  <c r="N174" i="22"/>
  <c r="D175" i="22"/>
  <c r="J175" i="22"/>
  <c r="K175" i="22"/>
  <c r="L175" i="22"/>
  <c r="M175" i="22"/>
  <c r="N175" i="22"/>
  <c r="D176" i="22"/>
  <c r="J176" i="22"/>
  <c r="K176" i="22"/>
  <c r="L176" i="22"/>
  <c r="M176" i="22"/>
  <c r="N176" i="22"/>
  <c r="D177" i="22"/>
  <c r="J177" i="22"/>
  <c r="K177" i="22"/>
  <c r="L177" i="22"/>
  <c r="M177" i="22"/>
  <c r="N177" i="22"/>
  <c r="D178" i="22"/>
  <c r="J178" i="22"/>
  <c r="K178" i="22"/>
  <c r="L178" i="22"/>
  <c r="M178" i="22"/>
  <c r="N178" i="22"/>
  <c r="D179" i="22"/>
  <c r="J179" i="22"/>
  <c r="K179" i="22"/>
  <c r="L179" i="22"/>
  <c r="M179" i="22"/>
  <c r="N179" i="22"/>
  <c r="D180" i="22"/>
  <c r="J180" i="22"/>
  <c r="K180" i="22"/>
  <c r="L180" i="22"/>
  <c r="M180" i="22"/>
  <c r="N180" i="22"/>
  <c r="D181" i="22"/>
  <c r="J181" i="22"/>
  <c r="K181" i="22"/>
  <c r="L181" i="22"/>
  <c r="M181" i="22"/>
  <c r="N181" i="22"/>
  <c r="D182" i="22"/>
  <c r="J182" i="22"/>
  <c r="K182" i="22"/>
  <c r="L182" i="22"/>
  <c r="M182" i="22"/>
  <c r="N182" i="22"/>
  <c r="D183" i="22"/>
  <c r="J183" i="22"/>
  <c r="K183" i="22"/>
  <c r="L183" i="22"/>
  <c r="M183" i="22"/>
  <c r="N183" i="22"/>
  <c r="D184" i="22"/>
  <c r="J184" i="22"/>
  <c r="K184" i="22"/>
  <c r="L184" i="22"/>
  <c r="M184" i="22"/>
  <c r="N184" i="22"/>
  <c r="D185" i="22"/>
  <c r="J185" i="22"/>
  <c r="K185" i="22"/>
  <c r="L185" i="22"/>
  <c r="M185" i="22"/>
  <c r="N185" i="22"/>
  <c r="D186" i="22"/>
  <c r="J186" i="22"/>
  <c r="K186" i="22"/>
  <c r="L186" i="22"/>
  <c r="M186" i="22"/>
  <c r="N186" i="22"/>
  <c r="D187" i="22"/>
  <c r="J187" i="22"/>
  <c r="K187" i="22"/>
  <c r="L187" i="22"/>
  <c r="M187" i="22"/>
  <c r="N187" i="22"/>
  <c r="D188" i="22"/>
  <c r="J188" i="22"/>
  <c r="K188" i="22"/>
  <c r="L188" i="22"/>
  <c r="M188" i="22"/>
  <c r="N188" i="22"/>
  <c r="D189" i="22"/>
  <c r="J189" i="22"/>
  <c r="K189" i="22"/>
  <c r="L189" i="22"/>
  <c r="M189" i="22"/>
  <c r="N189" i="22"/>
  <c r="D190" i="22"/>
  <c r="J190" i="22"/>
  <c r="K190" i="22"/>
  <c r="L190" i="22"/>
  <c r="M190" i="22"/>
  <c r="N190" i="22"/>
  <c r="D191" i="22"/>
  <c r="J191" i="22"/>
  <c r="K191" i="22"/>
  <c r="L191" i="22"/>
  <c r="M191" i="22"/>
  <c r="N191" i="22"/>
  <c r="D192" i="22"/>
  <c r="J192" i="22"/>
  <c r="K192" i="22"/>
  <c r="L192" i="22"/>
  <c r="M192" i="22"/>
  <c r="N192" i="22"/>
  <c r="D193" i="22"/>
  <c r="J193" i="22"/>
  <c r="K193" i="22"/>
  <c r="L193" i="22"/>
  <c r="M193" i="22"/>
  <c r="N193" i="22"/>
  <c r="D194" i="22"/>
  <c r="J194" i="22"/>
  <c r="K194" i="22"/>
  <c r="L194" i="22"/>
  <c r="M194" i="22"/>
  <c r="N194" i="22"/>
  <c r="D195" i="22"/>
  <c r="J195" i="22"/>
  <c r="K195" i="22"/>
  <c r="L195" i="22"/>
  <c r="M195" i="22"/>
  <c r="N195" i="22"/>
  <c r="D196" i="22"/>
  <c r="J196" i="22"/>
  <c r="K196" i="22"/>
  <c r="L196" i="22"/>
  <c r="M196" i="22"/>
  <c r="N196" i="22"/>
  <c r="D197" i="22"/>
  <c r="J197" i="22"/>
  <c r="K197" i="22"/>
  <c r="L197" i="22"/>
  <c r="M197" i="22"/>
  <c r="N197" i="22"/>
  <c r="D198" i="22"/>
  <c r="J198" i="22"/>
  <c r="K198" i="22"/>
  <c r="L198" i="22"/>
  <c r="M198" i="22"/>
  <c r="N198" i="22"/>
  <c r="D199" i="22"/>
  <c r="J199" i="22"/>
  <c r="K199" i="22"/>
  <c r="L199" i="22"/>
  <c r="M199" i="22"/>
  <c r="N199" i="22"/>
  <c r="D200" i="22"/>
  <c r="J200" i="22"/>
  <c r="K200" i="22"/>
  <c r="L200" i="22"/>
  <c r="M200" i="22"/>
  <c r="N200" i="22"/>
  <c r="D201" i="22"/>
  <c r="J201" i="22"/>
  <c r="K201" i="22"/>
  <c r="L201" i="22"/>
  <c r="M201" i="22"/>
  <c r="N201" i="22"/>
  <c r="D202" i="22"/>
  <c r="J202" i="22"/>
  <c r="K202" i="22"/>
  <c r="L202" i="22"/>
  <c r="M202" i="22"/>
  <c r="N202" i="22"/>
  <c r="D203" i="22"/>
  <c r="J203" i="22"/>
  <c r="K203" i="22"/>
  <c r="L203" i="22"/>
  <c r="M203" i="22"/>
  <c r="N203" i="22"/>
  <c r="D204" i="22"/>
  <c r="J204" i="22"/>
  <c r="K204" i="22"/>
  <c r="L204" i="22"/>
  <c r="M204" i="22"/>
  <c r="N204" i="22"/>
  <c r="D205" i="22"/>
  <c r="J205" i="22"/>
  <c r="K205" i="22"/>
  <c r="L205" i="22"/>
  <c r="M205" i="22"/>
  <c r="N205" i="22"/>
  <c r="D206" i="22"/>
  <c r="J206" i="22"/>
  <c r="K206" i="22"/>
  <c r="L206" i="22"/>
  <c r="M206" i="22"/>
  <c r="N206" i="22"/>
  <c r="D207" i="22"/>
  <c r="J207" i="22"/>
  <c r="K207" i="22"/>
  <c r="L207" i="22"/>
  <c r="M207" i="22"/>
  <c r="N207" i="22"/>
  <c r="D208" i="22"/>
  <c r="J208" i="22"/>
  <c r="K208" i="22"/>
  <c r="L208" i="22"/>
  <c r="M208" i="22"/>
  <c r="N208" i="22"/>
  <c r="D209" i="22"/>
  <c r="J209" i="22"/>
  <c r="K209" i="22"/>
  <c r="L209" i="22"/>
  <c r="M209" i="22"/>
  <c r="N209" i="22"/>
  <c r="D210" i="22"/>
  <c r="J210" i="22"/>
  <c r="K210" i="22"/>
  <c r="L210" i="22"/>
  <c r="M210" i="22"/>
  <c r="N210" i="22"/>
  <c r="D211" i="22"/>
  <c r="J211" i="22"/>
  <c r="K211" i="22"/>
  <c r="L211" i="22"/>
  <c r="M211" i="22"/>
  <c r="N211" i="22"/>
  <c r="D212" i="22"/>
  <c r="J212" i="22"/>
  <c r="K212" i="22"/>
  <c r="L212" i="22"/>
  <c r="M212" i="22"/>
  <c r="N212" i="22"/>
  <c r="D213" i="22"/>
  <c r="J213" i="22"/>
  <c r="K213" i="22"/>
  <c r="L213" i="22"/>
  <c r="M213" i="22"/>
  <c r="N213" i="22"/>
  <c r="D214" i="22"/>
  <c r="J214" i="22"/>
  <c r="K214" i="22"/>
  <c r="L214" i="22"/>
  <c r="M214" i="22"/>
  <c r="N214" i="22"/>
  <c r="D215" i="22"/>
  <c r="J215" i="22"/>
  <c r="K215" i="22"/>
  <c r="L215" i="22"/>
  <c r="M215" i="22"/>
  <c r="N215" i="22"/>
  <c r="D216" i="22"/>
  <c r="J216" i="22"/>
  <c r="K216" i="22"/>
  <c r="L216" i="22"/>
  <c r="M216" i="22"/>
  <c r="N216" i="22"/>
  <c r="D217" i="22"/>
  <c r="J217" i="22"/>
  <c r="K217" i="22"/>
  <c r="L217" i="22"/>
  <c r="M217" i="22"/>
  <c r="N217" i="22"/>
  <c r="D218" i="22"/>
  <c r="J218" i="22"/>
  <c r="K218" i="22"/>
  <c r="L218" i="22"/>
  <c r="M218" i="22"/>
  <c r="N218" i="22"/>
  <c r="D219" i="22"/>
  <c r="J219" i="22"/>
  <c r="K219" i="22"/>
  <c r="L219" i="22"/>
  <c r="M219" i="22"/>
  <c r="N219" i="22"/>
  <c r="D220" i="22"/>
  <c r="J220" i="22"/>
  <c r="K220" i="22"/>
  <c r="L220" i="22"/>
  <c r="M220" i="22"/>
  <c r="N220" i="22"/>
  <c r="D221" i="22"/>
  <c r="J221" i="22"/>
  <c r="K221" i="22"/>
  <c r="L221" i="22"/>
  <c r="M221" i="22"/>
  <c r="N221" i="22"/>
  <c r="D222" i="22"/>
  <c r="J222" i="22"/>
  <c r="K222" i="22"/>
  <c r="L222" i="22"/>
  <c r="M222" i="22"/>
  <c r="N222" i="22"/>
  <c r="D223" i="22"/>
  <c r="J223" i="22"/>
  <c r="K223" i="22"/>
  <c r="L223" i="22"/>
  <c r="M223" i="22"/>
  <c r="N223" i="22"/>
  <c r="D224" i="22"/>
  <c r="J224" i="22"/>
  <c r="K224" i="22"/>
  <c r="L224" i="22"/>
  <c r="M224" i="22"/>
  <c r="N224" i="22"/>
  <c r="D225" i="22"/>
  <c r="J225" i="22"/>
  <c r="K225" i="22"/>
  <c r="L225" i="22"/>
  <c r="M225" i="22"/>
  <c r="N225" i="22"/>
  <c r="D226" i="22"/>
  <c r="J226" i="22"/>
  <c r="K226" i="22"/>
  <c r="L226" i="22"/>
  <c r="M226" i="22"/>
  <c r="N226" i="22"/>
  <c r="D227" i="22"/>
  <c r="J227" i="22"/>
  <c r="K227" i="22"/>
  <c r="L227" i="22"/>
  <c r="M227" i="22"/>
  <c r="N227" i="22"/>
  <c r="D228" i="22"/>
  <c r="J228" i="22"/>
  <c r="K228" i="22"/>
  <c r="L228" i="22"/>
  <c r="M228" i="22"/>
  <c r="N228" i="22"/>
  <c r="D229" i="22"/>
  <c r="J229" i="22"/>
  <c r="K229" i="22"/>
  <c r="L229" i="22"/>
  <c r="M229" i="22"/>
  <c r="N229" i="22"/>
  <c r="D230" i="22"/>
  <c r="J230" i="22"/>
  <c r="K230" i="22"/>
  <c r="L230" i="22"/>
  <c r="M230" i="22"/>
  <c r="N230" i="22"/>
  <c r="D231" i="22"/>
  <c r="J231" i="22"/>
  <c r="K231" i="22"/>
  <c r="L231" i="22"/>
  <c r="M231" i="22"/>
  <c r="N231" i="22"/>
  <c r="D232" i="22"/>
  <c r="J232" i="22"/>
  <c r="K232" i="22"/>
  <c r="L232" i="22"/>
  <c r="M232" i="22"/>
  <c r="N232" i="22"/>
  <c r="D233" i="22"/>
  <c r="J233" i="22"/>
  <c r="K233" i="22"/>
  <c r="L233" i="22"/>
  <c r="M233" i="22"/>
  <c r="N233" i="22"/>
  <c r="D234" i="22"/>
  <c r="J234" i="22"/>
  <c r="K234" i="22"/>
  <c r="L234" i="22"/>
  <c r="M234" i="22"/>
  <c r="N234" i="22"/>
  <c r="D235" i="22"/>
  <c r="J235" i="22"/>
  <c r="K235" i="22"/>
  <c r="L235" i="22"/>
  <c r="M235" i="22"/>
  <c r="N235" i="22"/>
  <c r="D236" i="22"/>
  <c r="J236" i="22"/>
  <c r="K236" i="22"/>
  <c r="L236" i="22"/>
  <c r="M236" i="22"/>
  <c r="N236" i="22"/>
  <c r="D237" i="22"/>
  <c r="J237" i="22"/>
  <c r="K237" i="22"/>
  <c r="L237" i="22"/>
  <c r="M237" i="22"/>
  <c r="N237" i="22"/>
  <c r="D238" i="22"/>
  <c r="J238" i="22"/>
  <c r="K238" i="22"/>
  <c r="L238" i="22"/>
  <c r="M238" i="22"/>
  <c r="N238" i="22"/>
  <c r="D239" i="22"/>
  <c r="J239" i="22"/>
  <c r="K239" i="22"/>
  <c r="L239" i="22"/>
  <c r="M239" i="22"/>
  <c r="N239" i="22"/>
  <c r="D240" i="22"/>
  <c r="J240" i="22"/>
  <c r="K240" i="22"/>
  <c r="L240" i="22"/>
  <c r="M240" i="22"/>
  <c r="N240" i="22"/>
  <c r="D241" i="22"/>
  <c r="J241" i="22"/>
  <c r="K241" i="22"/>
  <c r="L241" i="22"/>
  <c r="M241" i="22"/>
  <c r="N241" i="22"/>
  <c r="D242" i="22"/>
  <c r="J242" i="22"/>
  <c r="K242" i="22"/>
  <c r="L242" i="22"/>
  <c r="M242" i="22"/>
  <c r="N242" i="22"/>
  <c r="D243" i="22"/>
  <c r="J243" i="22"/>
  <c r="K243" i="22"/>
  <c r="L243" i="22"/>
  <c r="M243" i="22"/>
  <c r="N243" i="22"/>
  <c r="D244" i="22"/>
  <c r="J244" i="22"/>
  <c r="K244" i="22"/>
  <c r="L244" i="22"/>
  <c r="M244" i="22"/>
  <c r="N244" i="22"/>
  <c r="D245" i="22"/>
  <c r="J245" i="22"/>
  <c r="K245" i="22"/>
  <c r="L245" i="22"/>
  <c r="M245" i="22"/>
  <c r="N245" i="22"/>
  <c r="D246" i="22"/>
  <c r="J246" i="22"/>
  <c r="K246" i="22"/>
  <c r="L246" i="22"/>
  <c r="M246" i="22"/>
  <c r="N246" i="22"/>
  <c r="D247" i="22"/>
  <c r="J247" i="22"/>
  <c r="K247" i="22"/>
  <c r="L247" i="22"/>
  <c r="M247" i="22"/>
  <c r="N247" i="22"/>
  <c r="D248" i="22"/>
  <c r="J248" i="22"/>
  <c r="K248" i="22"/>
  <c r="L248" i="22"/>
  <c r="M248" i="22"/>
  <c r="N248" i="22"/>
  <c r="D249" i="22"/>
  <c r="J249" i="22"/>
  <c r="K249" i="22"/>
  <c r="L249" i="22"/>
  <c r="M249" i="22"/>
  <c r="N249" i="22"/>
  <c r="D250" i="22"/>
  <c r="J250" i="22"/>
  <c r="K250" i="22"/>
  <c r="L250" i="22"/>
  <c r="M250" i="22"/>
  <c r="N250" i="22"/>
  <c r="D251" i="22"/>
  <c r="J251" i="22"/>
  <c r="K251" i="22"/>
  <c r="L251" i="22"/>
  <c r="M251" i="22"/>
  <c r="N251" i="22"/>
  <c r="D252" i="22"/>
  <c r="J252" i="22"/>
  <c r="K252" i="22"/>
  <c r="L252" i="22"/>
  <c r="M252" i="22"/>
  <c r="N252" i="22"/>
  <c r="D253" i="22"/>
  <c r="J253" i="22"/>
  <c r="K253" i="22"/>
  <c r="L253" i="22"/>
  <c r="M253" i="22"/>
  <c r="N253" i="22"/>
  <c r="D254" i="22"/>
  <c r="J254" i="22"/>
  <c r="K254" i="22"/>
  <c r="L254" i="22"/>
  <c r="M254" i="22"/>
  <c r="N254" i="22"/>
  <c r="D255" i="22"/>
  <c r="J255" i="22"/>
  <c r="K255" i="22"/>
  <c r="L255" i="22"/>
  <c r="M255" i="22"/>
  <c r="N255" i="22"/>
  <c r="D256" i="22"/>
  <c r="J256" i="22"/>
  <c r="K256" i="22"/>
  <c r="L256" i="22"/>
  <c r="M256" i="22"/>
  <c r="N256" i="22"/>
  <c r="D257" i="22"/>
  <c r="J257" i="22"/>
  <c r="K257" i="22"/>
  <c r="L257" i="22"/>
  <c r="M257" i="22"/>
  <c r="N257" i="22"/>
  <c r="D258" i="22"/>
  <c r="J258" i="22"/>
  <c r="K258" i="22"/>
  <c r="L258" i="22"/>
  <c r="M258" i="22"/>
  <c r="N258" i="22"/>
  <c r="D259" i="22"/>
  <c r="J259" i="22"/>
  <c r="K259" i="22"/>
  <c r="L259" i="22"/>
  <c r="M259" i="22"/>
  <c r="N259" i="22"/>
  <c r="D260" i="22"/>
  <c r="J260" i="22"/>
  <c r="K260" i="22"/>
  <c r="L260" i="22"/>
  <c r="M260" i="22"/>
  <c r="N260" i="22"/>
  <c r="D261" i="22"/>
  <c r="J261" i="22"/>
  <c r="K261" i="22"/>
  <c r="L261" i="22"/>
  <c r="M261" i="22"/>
  <c r="N261" i="22"/>
  <c r="D262" i="22"/>
  <c r="J262" i="22"/>
  <c r="K262" i="22"/>
  <c r="L262" i="22"/>
  <c r="M262" i="22"/>
  <c r="N262" i="22"/>
  <c r="D263" i="22"/>
  <c r="J263" i="22"/>
  <c r="K263" i="22"/>
  <c r="L263" i="22"/>
  <c r="M263" i="22"/>
  <c r="N263" i="22"/>
  <c r="D264" i="22"/>
  <c r="J264" i="22"/>
  <c r="K264" i="22"/>
  <c r="L264" i="22"/>
  <c r="M264" i="22"/>
  <c r="N264" i="22"/>
  <c r="D265" i="22"/>
  <c r="J265" i="22"/>
  <c r="K265" i="22"/>
  <c r="L265" i="22"/>
  <c r="M265" i="22"/>
  <c r="N265" i="22"/>
  <c r="D266" i="22"/>
  <c r="J266" i="22"/>
  <c r="K266" i="22"/>
  <c r="L266" i="22"/>
  <c r="M266" i="22"/>
  <c r="N266" i="22"/>
  <c r="D267" i="22"/>
  <c r="J267" i="22"/>
  <c r="K267" i="22"/>
  <c r="L267" i="22"/>
  <c r="M267" i="22"/>
  <c r="N267" i="22"/>
  <c r="N5" i="22"/>
  <c r="M5" i="22"/>
  <c r="L5" i="22"/>
  <c r="K5" i="22"/>
  <c r="J5" i="22"/>
  <c r="D5" i="22"/>
  <c r="D26" i="22" l="1"/>
  <c r="J26" i="22"/>
  <c r="K26" i="22"/>
  <c r="L26" i="22"/>
  <c r="N26" i="22"/>
  <c r="M26" i="22"/>
  <c r="M19" i="22"/>
  <c r="N19" i="22"/>
  <c r="K19" i="22"/>
  <c r="L19" i="22"/>
  <c r="J19" i="22"/>
  <c r="D19" i="22"/>
  <c r="D125" i="20"/>
  <c r="D250" i="20"/>
  <c r="D249" i="20"/>
  <c r="D248" i="20"/>
  <c r="D247" i="20"/>
  <c r="D246" i="20"/>
  <c r="D245" i="20"/>
  <c r="D244" i="20"/>
  <c r="D243" i="20"/>
  <c r="D242" i="20"/>
  <c r="D241" i="20"/>
  <c r="D240" i="20"/>
  <c r="D239" i="20"/>
  <c r="D238" i="20"/>
  <c r="D237" i="20"/>
  <c r="D236" i="20"/>
  <c r="D235" i="20"/>
  <c r="D234" i="20"/>
  <c r="D233" i="20"/>
  <c r="D232" i="20"/>
  <c r="D231" i="20"/>
  <c r="D230" i="20"/>
  <c r="D229" i="20"/>
  <c r="D228" i="20"/>
  <c r="D227" i="20"/>
  <c r="D226" i="20"/>
  <c r="D225" i="20"/>
  <c r="D224" i="20"/>
  <c r="D223" i="20"/>
  <c r="D222" i="20"/>
  <c r="D221" i="20"/>
  <c r="D220" i="20"/>
  <c r="D219" i="20"/>
  <c r="D218" i="20"/>
  <c r="D217" i="20"/>
  <c r="D216" i="20"/>
  <c r="D215" i="20"/>
  <c r="D214" i="20"/>
  <c r="D213" i="20"/>
  <c r="D212" i="20"/>
  <c r="D211" i="20"/>
  <c r="D210" i="20"/>
  <c r="D209" i="20"/>
  <c r="D208" i="20"/>
  <c r="D207" i="20"/>
  <c r="D206" i="20"/>
  <c r="D205" i="20"/>
  <c r="D204" i="20"/>
  <c r="D203" i="20"/>
  <c r="D202" i="20"/>
  <c r="D201" i="20"/>
  <c r="D200" i="20"/>
  <c r="D199" i="20"/>
  <c r="D198" i="20"/>
  <c r="D197" i="20"/>
  <c r="D196" i="20"/>
  <c r="D195" i="20"/>
  <c r="D194" i="20"/>
  <c r="D193" i="20"/>
  <c r="D192" i="20"/>
  <c r="D191" i="20"/>
  <c r="D190" i="20"/>
  <c r="D189" i="20"/>
  <c r="D188" i="20"/>
  <c r="D187" i="20"/>
  <c r="D186" i="20"/>
  <c r="D185" i="20"/>
  <c r="D184" i="20"/>
  <c r="D183" i="20"/>
  <c r="D182" i="20"/>
  <c r="D181" i="20"/>
  <c r="D180" i="20"/>
  <c r="D179" i="20"/>
  <c r="D178" i="20"/>
  <c r="D177" i="20"/>
  <c r="D176" i="20"/>
  <c r="D175" i="20"/>
  <c r="D174" i="20"/>
  <c r="D173" i="20"/>
  <c r="D172" i="20"/>
  <c r="D171" i="20"/>
  <c r="D170" i="20"/>
  <c r="D169" i="20"/>
  <c r="D168" i="20"/>
  <c r="D167" i="20"/>
  <c r="D166" i="20"/>
  <c r="D165" i="20"/>
  <c r="D164" i="20"/>
  <c r="D163" i="20"/>
  <c r="D162" i="20"/>
  <c r="D161" i="20"/>
  <c r="D160" i="20"/>
  <c r="D159" i="20"/>
  <c r="D158" i="20"/>
  <c r="D157" i="20"/>
  <c r="D156" i="20"/>
  <c r="D155" i="20"/>
  <c r="D154" i="20"/>
  <c r="D153" i="20"/>
  <c r="D152" i="20"/>
  <c r="D151" i="20"/>
  <c r="D150" i="20"/>
  <c r="D149" i="20"/>
  <c r="D148" i="20"/>
  <c r="D147" i="20"/>
  <c r="D146" i="20"/>
  <c r="D145" i="20"/>
  <c r="D144" i="20"/>
  <c r="D143" i="20"/>
  <c r="D142" i="20"/>
  <c r="D141" i="20"/>
  <c r="D140" i="20"/>
  <c r="D139" i="20"/>
  <c r="D138" i="20"/>
  <c r="D137" i="20"/>
  <c r="D136" i="20"/>
  <c r="D135" i="20"/>
  <c r="D134" i="20"/>
  <c r="D133" i="20"/>
  <c r="D132" i="20"/>
  <c r="D131" i="20"/>
  <c r="D130" i="20"/>
  <c r="D129" i="20"/>
  <c r="D128" i="20"/>
  <c r="D127" i="20"/>
  <c r="D126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Bigelow</author>
  </authors>
  <commentList>
    <comment ref="A9" authorId="0" shapeId="0" xr:uid="{081C0C5D-6E52-44E9-80D0-9F1B9FB8ABD8}">
      <text>
        <r>
          <rPr>
            <b/>
            <sz val="9"/>
            <color indexed="81"/>
            <rFont val="Tahoma"/>
            <family val="2"/>
          </rPr>
          <t>INSTRUCTIONS:</t>
        </r>
        <r>
          <rPr>
            <sz val="9"/>
            <color indexed="81"/>
            <rFont val="Tahoma"/>
            <family val="2"/>
          </rPr>
          <t xml:space="preserve">
Place an "X" in this Column for any ROW you DO NOT want to be Processed.</t>
        </r>
      </text>
    </comment>
    <comment ref="B9" authorId="0" shapeId="0" xr:uid="{67F90D48-7D03-447F-8CC4-24D7AE19EB87}">
      <text>
        <r>
          <rPr>
            <b/>
            <sz val="9"/>
            <color indexed="81"/>
            <rFont val="Tahoma"/>
            <family val="2"/>
          </rPr>
          <t>INSTRUCTIONS:</t>
        </r>
        <r>
          <rPr>
            <sz val="9"/>
            <color indexed="81"/>
            <rFont val="Tahoma"/>
            <family val="2"/>
          </rPr>
          <t xml:space="preserve">
Add the Worksheet Names in the Order you want them to be processed (top-&gt;down)</t>
        </r>
      </text>
    </comment>
    <comment ref="C9" authorId="0" shapeId="0" xr:uid="{0E6816A2-82AC-4CE4-9F85-64E1EEBE14D6}">
      <text>
        <r>
          <rPr>
            <b/>
            <sz val="9"/>
            <color indexed="81"/>
            <rFont val="Tahoma"/>
            <family val="2"/>
          </rPr>
          <t>OPTIONAL:</t>
        </r>
        <r>
          <rPr>
            <sz val="9"/>
            <color indexed="81"/>
            <rFont val="Tahoma"/>
            <family val="2"/>
          </rPr>
          <t xml:space="preserve">
Feel free to make design/automation notes here about each worksheet.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Bigelow</author>
  </authors>
  <commentList>
    <comment ref="A4" authorId="0" shapeId="0" xr:uid="{60BC2FAF-7E2C-456C-890E-D791A1EE0131}">
      <text>
        <r>
          <rPr>
            <b/>
            <sz val="9"/>
            <color indexed="81"/>
            <rFont val="Tahoma"/>
            <family val="2"/>
          </rPr>
          <t>INSTRUCTIONS:</t>
        </r>
        <r>
          <rPr>
            <sz val="9"/>
            <color indexed="81"/>
            <rFont val="Tahoma"/>
            <family val="2"/>
          </rPr>
          <t xml:space="preserve">
Place an "X" in this Column for any ROW you DO NOT want to be Processed.</t>
        </r>
      </text>
    </comment>
    <comment ref="B4" authorId="0" shapeId="0" xr:uid="{12D70201-4A4A-44F6-8967-BA3161CD0930}">
      <text>
        <r>
          <rPr>
            <b/>
            <sz val="9"/>
            <color indexed="81"/>
            <rFont val="Tahoma"/>
            <family val="2"/>
          </rPr>
          <t>REQUIRED:
Nitro-CELL Object : Action Instruction
Must be "Object : Action" Format (spaces important)
PRO-TIP --&gt; Use Structured Reference Formula to populate the proper "Object : Action" value:
e.g. =nc_command[&lt;action&gt;+Tab+]
NOTE: Formulas will be converted to text on Upgrade</t>
        </r>
      </text>
    </comment>
    <comment ref="D4" authorId="0" shapeId="0" xr:uid="{B5E31ED1-553D-445D-8DF0-8E89C5926B41}">
      <text>
        <r>
          <rPr>
            <b/>
            <sz val="9"/>
            <color indexed="81"/>
            <rFont val="Tahoma"/>
            <family val="2"/>
          </rPr>
          <t>DO NOT EDIT COLUMN:</t>
        </r>
        <r>
          <rPr>
            <sz val="9"/>
            <color indexed="81"/>
            <rFont val="Tahoma"/>
            <family val="2"/>
          </rPr>
          <t xml:space="preserve">
This validates your combination Action Type and Object Type instructions.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Bigelow</author>
  </authors>
  <commentList>
    <comment ref="A4" authorId="0" shapeId="0" xr:uid="{C2CC7137-D343-4A27-A847-5827E9A5AE7B}">
      <text>
        <r>
          <rPr>
            <b/>
            <sz val="9"/>
            <color indexed="81"/>
            <rFont val="Tahoma"/>
            <family val="2"/>
          </rPr>
          <t>INSTRUCTIONS:</t>
        </r>
        <r>
          <rPr>
            <sz val="9"/>
            <color indexed="81"/>
            <rFont val="Tahoma"/>
            <family val="2"/>
          </rPr>
          <t xml:space="preserve">
Place an "X" in this Column for any ROW you DO NOT want to be Processed.</t>
        </r>
      </text>
    </comment>
    <comment ref="B4" authorId="0" shapeId="0" xr:uid="{88B5DF2D-1DFA-4418-8BF6-7C5639241EC5}">
      <text>
        <r>
          <rPr>
            <b/>
            <sz val="9"/>
            <color indexed="81"/>
            <rFont val="Tahoma"/>
            <family val="2"/>
          </rPr>
          <t>REQUIRED:
Nitro-CELL Object : Action Instruction
Must be "Object : Action" Format (spaces important)
PRO-TIP --&gt; Use Structured Reference Formula to populate the proper "Object : Action" value:
e.g. =nc_command[&lt;action&gt;+Tab+]
NOTE: Formulas will be converted to text on Upgrade</t>
        </r>
      </text>
    </comment>
    <comment ref="D4" authorId="0" shapeId="0" xr:uid="{8A922EE6-013E-4F5A-B55F-A185C43FE1F6}">
      <text>
        <r>
          <rPr>
            <b/>
            <sz val="9"/>
            <color indexed="81"/>
            <rFont val="Tahoma"/>
            <family val="2"/>
          </rPr>
          <t>DO NOT EDIT COLUMN:</t>
        </r>
        <r>
          <rPr>
            <sz val="9"/>
            <color indexed="81"/>
            <rFont val="Tahoma"/>
            <family val="2"/>
          </rPr>
          <t xml:space="preserve">
This validates your combination Action Type and Object Type instructions.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Bigelow</author>
  </authors>
  <commentList>
    <comment ref="A4" authorId="0" shapeId="0" xr:uid="{078BE5DC-F469-4CF1-B049-E8305687BD8F}">
      <text>
        <r>
          <rPr>
            <b/>
            <sz val="9"/>
            <color indexed="81"/>
            <rFont val="Tahoma"/>
            <family val="2"/>
          </rPr>
          <t>INSTRUCTIONS:</t>
        </r>
        <r>
          <rPr>
            <sz val="9"/>
            <color indexed="81"/>
            <rFont val="Tahoma"/>
            <family val="2"/>
          </rPr>
          <t xml:space="preserve">
Place an "X" in this Column for any ROW you DO NOT want to be Processed.</t>
        </r>
      </text>
    </comment>
    <comment ref="B4" authorId="0" shapeId="0" xr:uid="{55316D54-ED1D-45B4-98E2-9DAE5A8019A4}">
      <text>
        <r>
          <rPr>
            <b/>
            <sz val="9"/>
            <color indexed="81"/>
            <rFont val="Tahoma"/>
            <family val="2"/>
          </rPr>
          <t>REQUIRED:
Nitro-CELL Object : Action Instruction
Must be "Object : Action" Format (spaces important)
PRO-TIP --&gt; Use Structured References to populate the proper "Object : Action" value:
e.g. =nc_command[&lt;action&gt;]</t>
        </r>
      </text>
    </comment>
    <comment ref="D4" authorId="0" shapeId="0" xr:uid="{A10A608F-B06F-49B8-9FC9-5FBC3CF85AA4}">
      <text>
        <r>
          <rPr>
            <b/>
            <sz val="9"/>
            <color indexed="81"/>
            <rFont val="Tahoma"/>
            <family val="2"/>
          </rPr>
          <t>DO NOT EDIT COLUMN:</t>
        </r>
        <r>
          <rPr>
            <sz val="9"/>
            <color indexed="81"/>
            <rFont val="Tahoma"/>
            <family val="2"/>
          </rPr>
          <t xml:space="preserve">
This validates your combination Action Type and Object Type instructions.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647EA9-B316-4289-8038-CF4F5334484B}" keepAlive="1" name="Query - nc_commandsQuery" description="Connection to the 'nc_commandsQuery' query in the workbook." type="5" refreshedVersion="7" background="1" saveData="1">
    <dbPr connection="Provider=Microsoft.Mashup.OleDb.1;Data Source=$Workbook$;Location=nc_commandsQuery;Extended Properties=&quot;&quot;" command="SELECT * FROM [nc_commandsQuery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<sst xmlns="http://schemas.openxmlformats.org/spreadsheetml/2006/main" count="4462" uniqueCount="1384">
  <si>
    <t>http://www.youtube.com/playlist?list=PLcWd1Ea7i_tzvRi84VgT7aQ5nJ_xCSrPo</t>
  </si>
  <si>
    <t>http://www.youtube.com/playlist?list=PLcWd1Ea7i_txy-CnWWEGerxoihHQ3dFrz</t>
  </si>
  <si>
    <t>http://www.youtube.com/playlist?list=PLcWd1Ea7i_tw_csXQWbNesgv4vBRWAO7b</t>
  </si>
  <si>
    <t>https://www.youtube.com/playlist?list=PLcWd1Ea7i_tyGW0cdCoekKgUzYsye2sif</t>
  </si>
  <si>
    <t>http://www.youtube.com/playlist?list=PLcWd1Ea7i_tyktkNiGfyFYXK6C2PQtvTz</t>
  </si>
  <si>
    <t>http://www.youtube.com/playlist?list=PLcWd1Ea7i_tzlZyOB3KrAsh9Bs-FWB-1T</t>
  </si>
  <si>
    <t>https://www.youtube.com/playlist?list=PLcWd1Ea7i_txw61geK-uPmGadiOyH7VmS</t>
  </si>
  <si>
    <t>http://www.youtube.com/playlist?list=PLcWd1Ea7i_tzi4R9Q9p2BlMJuO3mL-KXj</t>
  </si>
  <si>
    <t>http://www.youtube.com/playlist?list=PLcWd1Ea7i_txQr1htIQoWzTJ6hitqEtgS</t>
  </si>
  <si>
    <t>http://www.youtube.com/playlist?list=PLcWd1Ea7i_tyetMXBcS6QUGYi9ceWBV_S</t>
  </si>
  <si>
    <t>http://www.youtube.com/playlist?list=PLcWd1Ea7i_txPEott5LkScXy-HMFhxNb5</t>
  </si>
  <si>
    <t>http://www.youtube.com/playlist?list=PLcWd1Ea7i_tyxMQe5z0xvNeGNurCpHfSo</t>
  </si>
  <si>
    <t>https://www.youtube.com/playlist?list=PLcWd1Ea7i_txYSnajAB6sj3Bcr_yNsEHO</t>
  </si>
  <si>
    <t>http://www.youtube.com/playlist?list=PLcWd1Ea7i_txTYetO2UjhBsbQekcUfemf</t>
  </si>
  <si>
    <t>http://www.youtube.com/playlist?list=PLcWd1Ea7i_twDk7N1pCSlj3gW34_WzLKS</t>
  </si>
  <si>
    <t>http://www.youtube.com/playlist?list=PLcWd1Ea7i_tyy2dvgbiJUKxztKRE2ZAo0</t>
  </si>
  <si>
    <t>http://www.youtube.com/playlist?list=PLcWd1Ea7i_tzYH1C1equAkrohPh35wewi</t>
  </si>
  <si>
    <t>http://www.youtube.com/playlist?list=PLcWd1Ea7i_tzahtCweizPrawSC8BIaU-Z</t>
  </si>
  <si>
    <t>http://www.youtube.com/playlist?list=PLcWd1Ea7i_txSvIqk6QJBfR5ApDIuE8_o</t>
  </si>
  <si>
    <t>http://www.youtube.com/playlist?list=PLcWd1Ea7i_tzTl7izYWVor52R98JSjre2</t>
  </si>
  <si>
    <t>http://www.youtube.com/playlist?list=PLcWd1Ea7i_txGn-eilxT8LdfVvc37Iv2E</t>
  </si>
  <si>
    <t>http://www.youtube.com/playlist?list=PLcWd1Ea7i_txdmn8K_XZNSA6cl6endIFd</t>
  </si>
  <si>
    <t>http://www.youtube.com/playlist?list=PLcWd1Ea7i_tzrhw8l9bSGnZg3gkAx0I6Q</t>
  </si>
  <si>
    <t>http://www.youtube.com/playlist?list=PLcWd1Ea7i_tyd3yXXai_ZdTiDgf6i4yc6</t>
  </si>
  <si>
    <t>https://www.youtube.com/playlist?list=PLcWd1Ea7i_twMf3XwCRwJwYLlR1FzlTOC</t>
  </si>
  <si>
    <t>https://www.youtube.com/playlist?list=PLcWd1Ea7i_twCHTX-Gjg0SL1xcHo_fTpq</t>
  </si>
  <si>
    <t>https://www.youtube.com/playlist?list=PLcWd1Ea7i_txPHWaQxBw72_koKpLvmYQC</t>
  </si>
  <si>
    <t>http://www.youtube.com/playlist?list=PLcWd1Ea7i_tyTM92aGE1VH7ZohQcmOh4Y</t>
  </si>
  <si>
    <t>http://www.youtube.com/playlist?list=PLcWd1Ea7i_tww9u0Q6AbxvIhbBNyRzcE-</t>
  </si>
  <si>
    <t>http://www.youtube.com/playlist?list=PLcWd1Ea7i_tz1T9IOUhIC6ueX34E4HNuy</t>
  </si>
  <si>
    <t>http://www.youtube.com/playlist?list=PLcWd1Ea7i_txmFIgaYo_aMzJWhkK2wOu1</t>
  </si>
  <si>
    <t>http://www.youtube.com/playlist?list=PLcWd1Ea7i_twLro9fFYdKqS7rGJQtpmO-</t>
  </si>
  <si>
    <t>http://www.youtube.com/playlist?list=PLcWd1Ea7i_txqXpiMPbEBSwq-C5-0YQ9p</t>
  </si>
  <si>
    <t>http://www.youtube.com/playlist?list=PLcWd1Ea7i_tyHB0EJmmVv_IGKj_xZRZXG</t>
  </si>
  <si>
    <t>http://www.youtube.com/playlist?list=PLcWd1Ea7i_txnzL2RXnEVA96B8bTgviLJ</t>
  </si>
  <si>
    <t>http://www.youtube.com/playlist?list=PLcWd1Ea7i_twQ9o-KupfjT3cKQT6ooQMV</t>
  </si>
  <si>
    <t>http://www.youtube.com/playlist?list=PLcWd1Ea7i_twTpttgUxo5EDrSFq-PBuZ8</t>
  </si>
  <si>
    <t>https://www.youtube.com/playlist?list=PLcWd1Ea7i_tyjSGLApBbfqg0Xv3fEhhmT</t>
  </si>
  <si>
    <t>http://www.youtube.com/playlist?list=PLcWd1Ea7i_tx4iJOLmafyUAzrIBAH0DKt</t>
  </si>
  <si>
    <t>http://www.youtube.com/playlist?list=PLcWd1Ea7i_tx79RM540GGKPJwld9scMJ1</t>
  </si>
  <si>
    <t>https://www.youtube.com/watch?v=UNTXvPxqhMg</t>
  </si>
  <si>
    <t>http://www.youtube.com/playlist?list=PLcWd1Ea7i_tyAHVaf-xhTeZjGL5Tv4yML</t>
  </si>
  <si>
    <t>http://www.youtube.com/playlist?list=PLcWd1Ea7i_txwTUGwKjL-MS3LgqQ-UZdw</t>
  </si>
  <si>
    <t>https://www.youtube.com/playlist?list=PLcWd1Ea7i_tyVvLZZglEy-NgR1yvbLkba</t>
  </si>
  <si>
    <t>http://www.youtube.com/playlist?list=PLcWd1Ea7i_tzXCKzDxpRFWL7_UYRIrvPH</t>
  </si>
  <si>
    <t>https://www.youtube.com/playlist?list=PLcWd1Ea7i_twa4qxfs944knbkRtDe6nY2</t>
  </si>
  <si>
    <t>http://www.youtube.com/playlist?list=PLcWd1Ea7i_txSncKLEpboOXlNiYmC5DUO</t>
  </si>
  <si>
    <t>http://www.youtube.com/playlist?list=PLcWd1Ea7i_tw1OTYH2ARuId3Ns6WT_tpu</t>
  </si>
  <si>
    <t>http://www.youtube.com/playlist?list=PLcWd1Ea7i_twxhkKfxkV9KX0-J4rQ5-qB</t>
  </si>
  <si>
    <t>http://www.youtube.com/playlist?list=PLcWd1Ea7i_twM3K0R2GZjyUtflvZLo6rJ</t>
  </si>
  <si>
    <t>http://www.youtube.com/playlist?list=PLcWd1Ea7i_tx1tBlOkAx1kjtNPmSmq2ue</t>
  </si>
  <si>
    <t>http://www.youtube.com/playlist?list=PLcWd1Ea7i_tw3gtHthWlurqdCbJIQZqBI</t>
  </si>
  <si>
    <t>http://www.youtube.com/playlist?list=PLcWd1Ea7i_tyAA-kfqNKRgu_VBnorLlWU</t>
  </si>
  <si>
    <t>http://www.youtube.com/playlist?list=PLcWd1Ea7i_twB2Y9ogC9X2rAju9ZICshG</t>
  </si>
  <si>
    <t>http://www.youtube.com/playlist?list=PLcWd1Ea7i_tw8o-UWY2SlNXNYsuzg-VeQ</t>
  </si>
  <si>
    <t>https://www.youtube.com/playlist?list=PLcWd1Ea7i_txl82_1qX2w995Z2MBbDXUq</t>
  </si>
  <si>
    <t>http://www.youtube.com/playlist?list=PLcWd1Ea7i_twWD9G8eO56P4P8gtt5n9Xw</t>
  </si>
  <si>
    <t>https://www.youtube.com/playlist?list=PLcWd1Ea7i_tywRamBx8lfk-ZRr-o47uy7</t>
  </si>
  <si>
    <t>SrcModel</t>
  </si>
  <si>
    <t>SrcObject</t>
  </si>
  <si>
    <t>TgtModel</t>
  </si>
  <si>
    <t>Copy a Note from One Model to Another (creates if not exists)</t>
  </si>
  <si>
    <t>Delete a Note from a Model</t>
  </si>
  <si>
    <t>(Active Model) or model.ext (*.*) / REG:regVar</t>
  </si>
  <si>
    <t/>
  </si>
  <si>
    <t>Get the x/y coords of a Drawing Note</t>
  </si>
  <si>
    <t>tgtWorksheet / REGISTER / REG:regVar</t>
  </si>
  <si>
    <t>tgtCellAddress / regVar / REG:regVar</t>
  </si>
  <si>
    <t>Set the x/y coords of a Drawing Note</t>
  </si>
  <si>
    <t>Verify that a Note Exists</t>
  </si>
  <si>
    <t>Get a Specified Note Value and Put it in a Worksheet / Cell</t>
  </si>
  <si>
    <t>Copy a Parameter and Value to a New or Existing Prameter</t>
  </si>
  <si>
    <t>ParamName / REG:regVar</t>
  </si>
  <si>
    <t>Delete a Specified Parameter</t>
  </si>
  <si>
    <t>Verify that a Parameter Exists</t>
  </si>
  <si>
    <t>Get a Specified Parameter Value and Put it in a Worksheet / Cell</t>
  </si>
  <si>
    <t>Check if a Parameter is Designated</t>
  </si>
  <si>
    <t>Set a Parameter Value</t>
  </si>
  <si>
    <t>paramValue / REG:regVar</t>
  </si>
  <si>
    <t>Set or Create a Parameter Value</t>
  </si>
  <si>
    <t>Delete a Feature Name from the Specified Model</t>
  </si>
  <si>
    <t>Generate a Summary of FEATURE TYPES and Counts (default NO Datum Features)</t>
  </si>
  <si>
    <t>Generate a Summary of FEATURE NAMES and Counts (default NO Datum Features)</t>
  </si>
  <si>
    <t>Generate a Summary of Flat Pattern Profile Data</t>
  </si>
  <si>
    <t>Generate Summary Data for Flat Pattern Profile Data</t>
  </si>
  <si>
    <t>Get the ID of a named Feature and write to Excel</t>
  </si>
  <si>
    <t>Rename a Feature by Name</t>
  </si>
  <si>
    <t>Rename the last Feature in a Model by type</t>
  </si>
  <si>
    <t>Resume a Suppressed Feature in Active Model</t>
  </si>
  <si>
    <t>Resume a Suppressed Feature and Dependent Children in Active Model</t>
  </si>
  <si>
    <t>Suppress a Feature Name from the Active Model</t>
  </si>
  <si>
    <t>Assemble a Source Model &amp; Csys to A Target Model &amp; Csys</t>
  </si>
  <si>
    <t>Assemble a Source Model &amp; Csys to ALL Target Model &amp; Csys</t>
  </si>
  <si>
    <t>Assemble a Source Model &amp; Csys to ALL Target Model &amp; Csys, but Assemble to end of ROOT(active) Assembly</t>
  </si>
  <si>
    <t>Close window for given model, or current window</t>
  </si>
  <si>
    <t>Delete a Specified Model from within an Assembly</t>
  </si>
  <si>
    <t>Delete a Model's Family Table</t>
  </si>
  <si>
    <t>model.ext (*.*) / REG:regVar</t>
  </si>
  <si>
    <t>Delete a Model's Relations</t>
  </si>
  <si>
    <t>Delete Suppressed Featrues/Components</t>
  </si>
  <si>
    <t>Set the Active Model on a Drawing</t>
  </si>
  <si>
    <t>Compute Drawing View Bounding Box X, Y</t>
  </si>
  <si>
    <t>Create an Exploded General View on a Drawing</t>
  </si>
  <si>
    <t>Create a General View on a Drawing</t>
  </si>
  <si>
    <t>Create a Projection View on a Drawing</t>
  </si>
  <si>
    <t>Rename a Drawing View</t>
  </si>
  <si>
    <t>Get the Sheet Number of a Drawing View</t>
  </si>
  <si>
    <t>Delete the Last Sheet</t>
  </si>
  <si>
    <t>Delete a Sheet by Number</t>
  </si>
  <si>
    <t>Set Sheet Scale</t>
  </si>
  <si>
    <t>Get a Sheet Scale</t>
  </si>
  <si>
    <t>Report the Sheet Size of a Drawing</t>
  </si>
  <si>
    <t>Execute a Drawing Regenerate Function</t>
  </si>
  <si>
    <t>Add a Symbol to a Drawing</t>
  </si>
  <si>
    <t>Delete a Symbol from a Drawing</t>
  </si>
  <si>
    <t>Export a 3D PDF File of a Model</t>
  </si>
  <si>
    <t>Export a DXF file of a Drawing</t>
  </si>
  <si>
    <t>Export a IGES File of a Model</t>
  </si>
  <si>
    <t>Export a PDF File of a Model</t>
  </si>
  <si>
    <t>Export a PDF File of a Drawing</t>
  </si>
  <si>
    <t>Export a STEP File</t>
  </si>
  <si>
    <t>Compute Bounding Box L, W, D</t>
  </si>
  <si>
    <t>Compute Bounding Box X, Y, Z</t>
  </si>
  <si>
    <t>Get Model Length Units</t>
  </si>
  <si>
    <t>Get the State of a Model in an Assembly</t>
  </si>
  <si>
    <t>Verify that a Model has a Family Table</t>
  </si>
  <si>
    <t>Check if a Family Table Instance Name Exists</t>
  </si>
  <si>
    <t>Check to see if the Model has Relations</t>
  </si>
  <si>
    <t>Get the layer state</t>
  </si>
  <si>
    <t>Set the Layer Properties to HIDDEN</t>
  </si>
  <si>
    <t>Set the Layer Properties to SHOW</t>
  </si>
  <si>
    <t>Force the Computation of Model Mass Properties</t>
  </si>
  <si>
    <t>Check to see if the Active or Specified Model has a View</t>
  </si>
  <si>
    <t>Select a Model View Saved Name</t>
  </si>
  <si>
    <t>Open and Activate a Model from Hard Drive InSession</t>
  </si>
  <si>
    <t>Open and Activate a Model from the Last Known Release Directory</t>
  </si>
  <si>
    <t>Force a Model Regeneration</t>
  </si>
  <si>
    <t>Rename a Model or Drawing InSession Only</t>
  </si>
  <si>
    <t>Resume a Suppressed Model in an Assembly in Active Assembly</t>
  </si>
  <si>
    <t>Resume a Suppressed Model and Dependent Children in Active Assembly</t>
  </si>
  <si>
    <t>Resume a set of Suppressed Models given in a Worksheet Range</t>
  </si>
  <si>
    <t>Force a Save of a Model</t>
  </si>
  <si>
    <t>Force a Save As of a Model to a Target Directory</t>
  </si>
  <si>
    <t>Force a Save As of a Model to the Release Directory</t>
  </si>
  <si>
    <t>Force a Save of a Model to the Release Directory</t>
  </si>
  <si>
    <t>Suppress a set of Models given in a Worksheet Range</t>
  </si>
  <si>
    <t>Suppress a Model in the Active or Specified Assembly</t>
  </si>
  <si>
    <t>Copy the values of a Range to a new Range</t>
  </si>
  <si>
    <t>Delete a Specified Worksheet Name</t>
  </si>
  <si>
    <t>Duplicate a Specified Worksheet</t>
  </si>
  <si>
    <t>Process a Execute Worksheet</t>
  </si>
  <si>
    <t>Get the name of the Active worksheet</t>
  </si>
  <si>
    <t>Get the number of Columns containing data within a Specified Row/Worksheet</t>
  </si>
  <si>
    <t>Get the maximum data Column within a Specified Row/Worksheet</t>
  </si>
  <si>
    <t>Get the minimum data Column within a Specified Row/Worksheet</t>
  </si>
  <si>
    <t>Get the next empty Column within a Specified Row/Worksheet</t>
  </si>
  <si>
    <t>Get the number of Rows containing data within a Specified Column/Worksheet</t>
  </si>
  <si>
    <t>Get the maximum data Row within a Specified Column/Worksheet</t>
  </si>
  <si>
    <t>Get the minimum data Row within a Specified Column/Worksheet</t>
  </si>
  <si>
    <t>Get the next empty Row within a Specified Column/Worksheet</t>
  </si>
  <si>
    <t>Loop worksheet unit convergance is satisfied</t>
  </si>
  <si>
    <t>Add a Pivot Field to a Pivot Table</t>
  </si>
  <si>
    <t>Add a Pivot SUM Field to a Pivot Table</t>
  </si>
  <si>
    <t>Create a Pivot Table based on a Specified Range</t>
  </si>
  <si>
    <t>Delete a Pivot Table by Name</t>
  </si>
  <si>
    <t>Delete a Pivot Field from a Pivot Table</t>
  </si>
  <si>
    <t>Check if a Pivot Table Name Exists</t>
  </si>
  <si>
    <t>Check if a Pivot Value Field Exists</t>
  </si>
  <si>
    <t>Check if a Pivot Value Field is Visible</t>
  </si>
  <si>
    <t>Set the Pivot Table Target Name</t>
  </si>
  <si>
    <t>Refresh All Pivot Tables in the Workbook</t>
  </si>
  <si>
    <t>Refresh the Workbook</t>
  </si>
  <si>
    <t>Select a specified worksheet name</t>
  </si>
  <si>
    <t>Process a Data Worksheet</t>
  </si>
  <si>
    <t>Set a Specific Value into a specific worksheet and Cell or Range</t>
  </si>
  <si>
    <t>Get a list of exploded views from a specified file and create/update a Batch Sheet</t>
  </si>
  <si>
    <t>Clears and Resets the Batch Counter to the FIRST available Row for Batch processing</t>
  </si>
  <si>
    <t>Start a Batch Process</t>
  </si>
  <si>
    <t>Stop Batch Execution and Write the current Batch Job as "SKIPPED"</t>
  </si>
  <si>
    <t>Get a Pro/E / CREO Config Option</t>
  </si>
  <si>
    <t>Set a Pro/E / CREO Config Option</t>
  </si>
  <si>
    <t>Change to a specified Directory (Absolute or Relative)</t>
  </si>
  <si>
    <t>Delete Directory(ies) (Relative)</t>
  </si>
  <si>
    <t>Directory Exists</t>
  </si>
  <si>
    <t>Directory Exists - Boolean response</t>
  </si>
  <si>
    <t>Report the current working directory name (not the path)</t>
  </si>
  <si>
    <t>Execute a "PURGE" Command in the Current or Specified Directory</t>
  </si>
  <si>
    <t>Create a ZIP file of a Directory Name</t>
  </si>
  <si>
    <t>Set a Nitro-CELL Session Variable and Value</t>
  </si>
  <si>
    <t>regVar / REG:regVar</t>
  </si>
  <si>
    <t>dataType, default=STRING / REG:regVar</t>
  </si>
  <si>
    <t>srcWorksheet (optional) / REG:regVar</t>
  </si>
  <si>
    <t>srcCellAddress / Value / REG:regVar</t>
  </si>
  <si>
    <t>Get a Nitro-CELL Session Variable and Value</t>
  </si>
  <si>
    <t>Clear Nitro-CELL Session Variable(s)</t>
  </si>
  <si>
    <t>Erase a File from Pro/E / CREO Memory</t>
  </si>
  <si>
    <t>Erase a File from Pro/E / CREO Memory and All Children of that Model</t>
  </si>
  <si>
    <t>Force Pro/E to Erase Memory (all models)</t>
  </si>
  <si>
    <t>Erase ALL Files that are not currently Active</t>
  </si>
  <si>
    <t>Force Exit of Nitro-CELL</t>
  </si>
  <si>
    <t>Disable Error Catch Function - no arguments</t>
  </si>
  <si>
    <t>Enable Error Catch for any failed NItro-CELL Function sets to regVars</t>
  </si>
  <si>
    <t>Check to see if the file is in the working directory</t>
  </si>
  <si>
    <t>Run a Mapkey Sequence</t>
  </si>
  <si>
    <t>Stop the Execution of any Batch or Nitro-CELL Process</t>
  </si>
  <si>
    <t>Stop Execution Worksheet, but continue exeuction</t>
  </si>
  <si>
    <t>Make Execution Wait for a given number of seconds (seconds may be a decimal)</t>
  </si>
  <si>
    <t>Write a custom ERROR message to the Application Log</t>
  </si>
  <si>
    <t>Check to see if a Windchill Server Exists</t>
  </si>
  <si>
    <t>Define a Windchill Server Endpoint</t>
  </si>
  <si>
    <t>Clear a Windchill Local Workspace</t>
  </si>
  <si>
    <t>Create a Windchill Local Workspace</t>
  </si>
  <si>
    <t>Delete a Windchill Local Workspace</t>
  </si>
  <si>
    <t>Check to see is a Local Workspace Exists</t>
  </si>
  <si>
    <t>Change to a Specified Local Workspace</t>
  </si>
  <si>
    <t>Create a ZIP file of a list of files in a specified directory</t>
  </si>
  <si>
    <t>Change Pro/E Working Directory to last Release Directory</t>
  </si>
  <si>
    <t>Clear matching NITRO_RELEASE_NAMES</t>
  </si>
  <si>
    <t>Clear the SET_NITRO_RELEASE_XXX Variables</t>
  </si>
  <si>
    <t>Delete a File(s) from the Release Directory</t>
  </si>
  <si>
    <t>Execute the PTC Purge Function in the Released Directory</t>
  </si>
  <si>
    <t>Set the Backup Directory for Any Release Processes</t>
  </si>
  <si>
    <t>DO NOT DELETE THIS WORKSHEET</t>
  </si>
  <si>
    <t>Welcome to Nitro-CELL!</t>
  </si>
  <si>
    <t>This Worksheet is the MAIN starting point for ALL Nitro-CELL execution processes.</t>
  </si>
  <si>
    <t>Nitro-CELL works by defining a sequence of Worksheets that will either "send" data or "execute" instructions to Pro/ENGINEER / CREO.</t>
  </si>
  <si>
    <t>Simply Enter the Worksheet Names in the Order you want them to be processed and press "GO!" in Nitro-CELL to start the automation.</t>
  </si>
  <si>
    <t>Sales, Engineering and Technical Support are Available within Nitro-CELL (Support Menu Option)</t>
  </si>
  <si>
    <t>Exclude</t>
  </si>
  <si>
    <t>Worksheet Name</t>
  </si>
  <si>
    <t>Worksheet Notes</t>
  </si>
  <si>
    <t>MAIN</t>
  </si>
  <si>
    <t>Help</t>
  </si>
  <si>
    <t>Instructions</t>
  </si>
  <si>
    <t>TgtObject</t>
  </si>
  <si>
    <t>Target Object</t>
  </si>
  <si>
    <t>Target Model</t>
  </si>
  <si>
    <t>Source Object</t>
  </si>
  <si>
    <t>Source Model</t>
  </si>
  <si>
    <t>Valid Action?</t>
  </si>
  <si>
    <t>USAGE</t>
  </si>
  <si>
    <t>CHILD TO MODIFY</t>
  </si>
  <si>
    <t>PARENT TO MODIFY</t>
  </si>
  <si>
    <t>DO NOT EDIT COL</t>
  </si>
  <si>
    <t>REQUIRED</t>
  </si>
  <si>
    <t>Nitro-CELL Execution Worksheet</t>
  </si>
  <si>
    <t>ENDIF</t>
  </si>
  <si>
    <t>UNIQUE, BOX</t>
  </si>
  <si>
    <t>DESCRIPTION</t>
  </si>
  <si>
    <t>box.prt</t>
  </si>
  <si>
    <t>ELSE</t>
  </si>
  <si>
    <t>RECTANGLE, BOX</t>
  </si>
  <si>
    <t>SQUARE, BOX</t>
  </si>
  <si>
    <t>IF (boxLength = boxHeight) AND (boxHeight &gt; 5)</t>
  </si>
  <si>
    <t>IF (boxLength = boxWidth) AND (boxLength &lt; 100)</t>
  </si>
  <si>
    <t>// Nested evaluation the registry values (change model description based on IF/ELSE logic)</t>
  </si>
  <si>
    <t>boxLHeight</t>
  </si>
  <si>
    <t>REGISTER</t>
  </si>
  <si>
    <t>HEIGHT</t>
  </si>
  <si>
    <t>boxWidth</t>
  </si>
  <si>
    <t>WIDTH</t>
  </si>
  <si>
    <t>boxLength</t>
  </si>
  <si>
    <t>LENGTH</t>
  </si>
  <si>
    <t>// Create Nitro-CELL Registry Variables &amp; Values (get parameter values from a model)</t>
  </si>
  <si>
    <t>// Nested IF/ELSE w/ Groupings</t>
  </si>
  <si>
    <t>IF boxLength = boxHeight</t>
  </si>
  <si>
    <t>IF boxLength = boxWidth</t>
  </si>
  <si>
    <t>// Nested IF/ELSE</t>
  </si>
  <si>
    <t>large_box.prt</t>
  </si>
  <si>
    <t>small_box.prt</t>
  </si>
  <si>
    <t>IF manufacturer = "QuikMolding"</t>
  </si>
  <si>
    <t>// Evaluate the registry value to a string</t>
  </si>
  <si>
    <t>QuikMolding</t>
  </si>
  <si>
    <t>STRING</t>
  </si>
  <si>
    <t>manufacturer</t>
  </si>
  <si>
    <t>// Create a Nitro-CELL Registry Variable &amp; Value</t>
  </si>
  <si>
    <t>// Simple String Evaluation</t>
  </si>
  <si>
    <t>IF falseVar &lt;&gt; trueVar</t>
  </si>
  <si>
    <t>IF falseVar</t>
  </si>
  <si>
    <t>IF trueVar = falseVar</t>
  </si>
  <si>
    <t>IF trueVar</t>
  </si>
  <si>
    <t>// Evaluate the registry value to a boolean</t>
  </si>
  <si>
    <t>BOOLEAN</t>
  </si>
  <si>
    <t>falseVar</t>
  </si>
  <si>
    <t>trueVar</t>
  </si>
  <si>
    <t>// Simple Boolean Evaluation</t>
  </si>
  <si>
    <t>large_shaft.prt</t>
  </si>
  <si>
    <t>small_shaft.prt</t>
  </si>
  <si>
    <t>IF diameter &lt; length</t>
  </si>
  <si>
    <t>// Evaluate the registry value to a number</t>
  </si>
  <si>
    <t>DOUBLE</t>
  </si>
  <si>
    <t>length</t>
  </si>
  <si>
    <t>diameter</t>
  </si>
  <si>
    <t>// Create a a few Registry Variables &amp; Values</t>
  </si>
  <si>
    <t>IF dblValue &lt; 10</t>
  </si>
  <si>
    <t>dblValue</t>
  </si>
  <si>
    <t>// Simple Numeric Evaluation Using Registry</t>
  </si>
  <si>
    <t>sm_box.prt</t>
  </si>
  <si>
    <t>IF 5 &lt; 10 OR 7 &gt; 6</t>
  </si>
  <si>
    <t>IF 5 &lt; 10</t>
  </si>
  <si>
    <t>IF 1 = 1</t>
  </si>
  <si>
    <t>// A few examples of how to do this</t>
  </si>
  <si>
    <t>// Simple Numeric Evaluation</t>
  </si>
  <si>
    <t>-- If a String value contains a double-quote (such as an inches symbol) it must have a \ in front of the double-quote.</t>
  </si>
  <si>
    <t xml:space="preserve"> ---&gt; Nitro-CELL REGISTRY Variables CAN be set in other EXECUTION Worksheets and Impact the current Executing Worksheet's Evaluation </t>
  </si>
  <si>
    <t>-- IF/ELSE Logic CAN be evaluated during Execution to control the flow of Execution</t>
  </si>
  <si>
    <t>-- IF/ELSE can use Nitro-CELL REGISTRY Variables/Values for evaluation (and you should!)</t>
  </si>
  <si>
    <t>-- IF/ELSE is VERY USEFUL when it comes to controlling the "flow" of execution! (eliminates the need for multiple Execution Worksheets)</t>
  </si>
  <si>
    <t>-- IF/ELSE Logic can be commented by adding any character before the IF/ELSE Statement</t>
  </si>
  <si>
    <t>-- IF/ELSE Logic evalutes inward--&gt;out -- evaluation grouping IS SUPPORTED e.g. (A = B) OR (B &lt;&gt; C)</t>
  </si>
  <si>
    <t>-- IF/ELSE Logic allows basic logic operations (e.g. &gt;, &lt;, &lt;&gt;, =, AND, OR, NOT)</t>
  </si>
  <si>
    <t>-- IF/ELSE Logic performs BASIC Logic evaluation! (e.g. TRUE, FALSE, TRUE = TRUE, FALSE = FALSE)</t>
  </si>
  <si>
    <t>-- IF/ELSE Logic does NOT use Excel Cell Addresses or Named Ranges</t>
  </si>
  <si>
    <t>-- IF/ELSE Logic is NOT Excel "IF" Logic!</t>
  </si>
  <si>
    <t>-- IF/ELSE Logic ONLY Applies to EXECUTE Worksheets!</t>
  </si>
  <si>
    <t>// Nitro-CELL IF/ELSE Logic Guidance Notes</t>
  </si>
  <si>
    <t>THIS IS CRUCIAL TO ALL EXECUTION FUNCITONS AND HELP</t>
  </si>
  <si>
    <t>model : ASSEMBLE</t>
  </si>
  <si>
    <t>model : ASSEMBLE_ALL</t>
  </si>
  <si>
    <t>model : ASSEMBLE_ALL_ROOT</t>
  </si>
  <si>
    <t>model : ASSEMBLE_SUPPRESS</t>
  </si>
  <si>
    <t>model : CLOSE_WINDOW</t>
  </si>
  <si>
    <t>model : DELETE</t>
  </si>
  <si>
    <t>model : DELETE_FAMILY_TBL</t>
  </si>
  <si>
    <t>model : DELETE_RELATIONS</t>
  </si>
  <si>
    <t>model : DELETE_SUPPRESSED</t>
  </si>
  <si>
    <t>model : DRW_ADD_SHEET</t>
  </si>
  <si>
    <t>model : DRW_CREATE</t>
  </si>
  <si>
    <t>model : DRW_DEL_SHEET_LAST</t>
  </si>
  <si>
    <t>model : DRW_DEL_SHEET_NUM</t>
  </si>
  <si>
    <t>model : DRW_EXPORT_FAIR</t>
  </si>
  <si>
    <t>model : DRW_GET_SHEET_COUNT</t>
  </si>
  <si>
    <t>model : DRW_GET_SHEET_NUM</t>
  </si>
  <si>
    <t>model : DRW_GET_SHEET_SCALE</t>
  </si>
  <si>
    <t>model : DRW_GET_SHEET_SIZE</t>
  </si>
  <si>
    <t>model : DRW_HAS_DIMENSIONS</t>
  </si>
  <si>
    <t>model : DRW_MODEL_ADD</t>
  </si>
  <si>
    <t>model : DRW_MODEL_COUNT</t>
  </si>
  <si>
    <t>model : DRW_MODEL_DELETE</t>
  </si>
  <si>
    <t>model : DRW_MODEL_EXISTS</t>
  </si>
  <si>
    <t>model : DRW_MODEL_GET</t>
  </si>
  <si>
    <t>model : DRW_MODEL_SET</t>
  </si>
  <si>
    <t>model : DRW_REGENERATE</t>
  </si>
  <si>
    <t>model : DRW_SEL_SHEET_FIRST</t>
  </si>
  <si>
    <t>model : DRW_SEL_SHEET_LAST</t>
  </si>
  <si>
    <t>model : DRW_SEL_SHEET_NUM</t>
  </si>
  <si>
    <t>model : DRW_SET_SHEET_SCALE</t>
  </si>
  <si>
    <t>model : DRW_SYMBOL_ADD</t>
  </si>
  <si>
    <t>model : DRW_SYMBOL_DELETE</t>
  </si>
  <si>
    <t>model : DRW_SYMBOL_EXISTS</t>
  </si>
  <si>
    <t>model : DRW_VIEW_BBOX_XY</t>
  </si>
  <si>
    <t>model : DRW_VIEW_COUNT</t>
  </si>
  <si>
    <t>model : DRW_VIEW_CREATE_EXP_GEN</t>
  </si>
  <si>
    <t>model : DRW_VIEW_CREATE_GEN</t>
  </si>
  <si>
    <t>model : DRW_VIEW_CREATE_PROJ</t>
  </si>
  <si>
    <t>model : DRW_VIEW_DELETE</t>
  </si>
  <si>
    <t>model : DRW_VIEW_EXISTS</t>
  </si>
  <si>
    <t>model : DRW_VIEW_LOC_GET</t>
  </si>
  <si>
    <t>model : DRW_VIEW_LOC_SET</t>
  </si>
  <si>
    <t>model : DRW_VIEW_MOVE</t>
  </si>
  <si>
    <t>model : DRW_VIEW_RENAME</t>
  </si>
  <si>
    <t>model : DRW_VIEW_SCALE_GET</t>
  </si>
  <si>
    <t>model : DRW_VIEW_SCALE_SET</t>
  </si>
  <si>
    <t>model : DRW_VIEW_SHEET_GET</t>
  </si>
  <si>
    <t>model : EXPORT_3D_PDF</t>
  </si>
  <si>
    <t>model : EXPORT_DRW_PDF</t>
  </si>
  <si>
    <t>model : EXPORT_DXF</t>
  </si>
  <si>
    <t>model : EXPORT_IGES</t>
  </si>
  <si>
    <t>model : EXPORT_IGES_PROFILE</t>
  </si>
  <si>
    <t>model : EXPORT_PDF</t>
  </si>
  <si>
    <t>model : EXPORT_STEP</t>
  </si>
  <si>
    <t>model : EXPORT_STEP_PROFILE</t>
  </si>
  <si>
    <t>model : FAMILY_TBL_EXISTS</t>
  </si>
  <si>
    <t>model : FAMILY_TBL_INST_EXISTS</t>
  </si>
  <si>
    <t>model : FAMILY_TBL_OPEN_INST</t>
  </si>
  <si>
    <t>model : GET_ACTIVE</t>
  </si>
  <si>
    <t>model : GET_APPEND_RELS</t>
  </si>
  <si>
    <t>model : GET_FILE_EXT</t>
  </si>
  <si>
    <t>model : GET_FILE_ROOT</t>
  </si>
  <si>
    <t>model : GET_LENGTH_UNITS</t>
  </si>
  <si>
    <t>model : GET_MASS_UNITS</t>
  </si>
  <si>
    <t>model : GET_MP_BBOX</t>
  </si>
  <si>
    <t>model : GET_MP_BBOX_VOL</t>
  </si>
  <si>
    <t>model : GET_MP_BBOX_XYZ</t>
  </si>
  <si>
    <t>model : GET_MP_SURF_AREA</t>
  </si>
  <si>
    <t>model : GET_MP_VOL</t>
  </si>
  <si>
    <t>model : GET_STATE</t>
  </si>
  <si>
    <t>model : IN_SESSION</t>
  </si>
  <si>
    <t>model : IN_SESSION_BOOL</t>
  </si>
  <si>
    <t>model : LAYER_CREATE</t>
  </si>
  <si>
    <t>model : LAYER_DELETE</t>
  </si>
  <si>
    <t>model : LAYER_EXISTS</t>
  </si>
  <si>
    <t>model : LAYER_GET_STATE</t>
  </si>
  <si>
    <t>model : LAYER_HIDE</t>
  </si>
  <si>
    <t>model : LAYER_SHOW</t>
  </si>
  <si>
    <t>model : MASSPROPS</t>
  </si>
  <si>
    <t>model : MODEL_VIEW_EXISTS</t>
  </si>
  <si>
    <t>model : MODEL_VIEW_SELECT</t>
  </si>
  <si>
    <t>model : OPEN</t>
  </si>
  <si>
    <t>model : OPEN_RELEASED</t>
  </si>
  <si>
    <t>model : REGENERATE</t>
  </si>
  <si>
    <t>model : RELATIONS_EXIST</t>
  </si>
  <si>
    <t>model : RENAME_INSESSION</t>
  </si>
  <si>
    <t>model : REPORT_ITEM_COUNTS</t>
  </si>
  <si>
    <t>model : REPORT_ITEM_CNT_PARMS</t>
  </si>
  <si>
    <t>model : RESUME</t>
  </si>
  <si>
    <t>model : RESUME_CHILDREN</t>
  </si>
  <si>
    <t>model : RESUME_RANGE</t>
  </si>
  <si>
    <t>model : SAVE</t>
  </si>
  <si>
    <t>model : SAVE_AS</t>
  </si>
  <si>
    <t>model : SAVE_AS_TO_RELEASED</t>
  </si>
  <si>
    <t>model : SAVE_TO_RELEASED</t>
  </si>
  <si>
    <t>model : SET_LENGTH_UNITS</t>
  </si>
  <si>
    <t>model : SET_MASS_UNITS</t>
  </si>
  <si>
    <t>model : SUPPRESS</t>
  </si>
  <si>
    <t>model : SUPPRESS_RANGE</t>
  </si>
  <si>
    <t>feature : DELETE</t>
  </si>
  <si>
    <t>feature : GET_STATE</t>
  </si>
  <si>
    <t>feature : RESUME</t>
  </si>
  <si>
    <t>feature : RESUME_CHILDREN</t>
  </si>
  <si>
    <t>feature : SUPPRESS</t>
  </si>
  <si>
    <t>parameter : COPY</t>
  </si>
  <si>
    <t>parameter : DELETE</t>
  </si>
  <si>
    <t>parameter : EXISTS</t>
  </si>
  <si>
    <t>parameter : GET</t>
  </si>
  <si>
    <t>parameter : GET_APPEND</t>
  </si>
  <si>
    <t>parameter : IS_DESIGNATED</t>
  </si>
  <si>
    <t>parameter : PARAM_GET_TO_ROWS</t>
  </si>
  <si>
    <t>parameter : SET</t>
  </si>
  <si>
    <t>parameter : SET_CREATE</t>
  </si>
  <si>
    <t>parameter : SET_STATE</t>
  </si>
  <si>
    <t>note : COPY</t>
  </si>
  <si>
    <t>note : DELETE</t>
  </si>
  <si>
    <t>note : DRW_GET_LOC</t>
  </si>
  <si>
    <t>note : DRW_SET_LOC</t>
  </si>
  <si>
    <t>note : EXISTS</t>
  </si>
  <si>
    <t>note : GET</t>
  </si>
  <si>
    <t>note : GET_APPEND</t>
  </si>
  <si>
    <t>note : SET_CREATE</t>
  </si>
  <si>
    <t>worksheet : APPEND_ROW</t>
  </si>
  <si>
    <t>worksheet : CLEAR_BATCHSHEET</t>
  </si>
  <si>
    <t>worksheet : CLEAR_DATASHEET</t>
  </si>
  <si>
    <t>worksheet : CLEAR_RANGE</t>
  </si>
  <si>
    <t>worksheet : COPY_RANGE</t>
  </si>
  <si>
    <t>worksheet : COPY_RANGE_VAL</t>
  </si>
  <si>
    <t>worksheet : DELETE</t>
  </si>
  <si>
    <t>worksheet : DELETE_RANGE</t>
  </si>
  <si>
    <t>worksheet : DUPLICATE</t>
  </si>
  <si>
    <t>worksheet : EXECTAB</t>
  </si>
  <si>
    <t>worksheet : EXPORT_PROTABLE</t>
  </si>
  <si>
    <t>worksheet : GET_COL_COUNT</t>
  </si>
  <si>
    <t>worksheet : GET_COL_COUNTA</t>
  </si>
  <si>
    <t>worksheet : GET_COL_MAX</t>
  </si>
  <si>
    <t>worksheet : GET_COL_MIN</t>
  </si>
  <si>
    <t>worksheet : GET_COL_NEXT</t>
  </si>
  <si>
    <t>worksheet : GET_CURRENT</t>
  </si>
  <si>
    <t>worksheet : GET_ROW_COUNT</t>
  </si>
  <si>
    <t>worksheet : GET_ROW_COUNTA</t>
  </si>
  <si>
    <t>worksheet : GET_ROW_MAX</t>
  </si>
  <si>
    <t>worksheet : GET_ROW_MIN</t>
  </si>
  <si>
    <t>worksheet : GET_ROW_NEXT</t>
  </si>
  <si>
    <t>worksheet : LOOP_WORKSHEET_UNTIL</t>
  </si>
  <si>
    <t>worksheet : PIVOT_ADD_PVTFIELD</t>
  </si>
  <si>
    <t>worksheet : PIVOT_ADD_SUMFIELD</t>
  </si>
  <si>
    <t>worksheet : PIVOT_CREATE</t>
  </si>
  <si>
    <t>worksheet : PIVOT_DELETE</t>
  </si>
  <si>
    <t>worksheet : PIVOT_DELETE_PVTFIELD</t>
  </si>
  <si>
    <t>worksheet : PIVOT_EXISTS</t>
  </si>
  <si>
    <t>worksheet : PIVOT_FIELD_EXISTS</t>
  </si>
  <si>
    <t>worksheet : PIVOT_FIELD_VISIBLE</t>
  </si>
  <si>
    <t>worksheet : PIVOT_FORMAT_VALFIELD</t>
  </si>
  <si>
    <t>worksheet : PIVOT_SET_TARGET</t>
  </si>
  <si>
    <t>worksheet : PIVOT_UPDATE</t>
  </si>
  <si>
    <t>worksheet : REFRESH_ALL</t>
  </si>
  <si>
    <t>worksheet : SELECT</t>
  </si>
  <si>
    <t>worksheet : SELECT_CELL</t>
  </si>
  <si>
    <t>worksheet : SEND_NO_REGEN</t>
  </si>
  <si>
    <t>worksheet : SEND_RESULTS</t>
  </si>
  <si>
    <t>worksheet : SET_VALUE</t>
  </si>
  <si>
    <t>worksheet : SHEETNAME_EXISTS</t>
  </si>
  <si>
    <t>worksheet : WRITE_FORMULAS</t>
  </si>
  <si>
    <t>application : BATCH_APPEND_DRW_MDLS</t>
  </si>
  <si>
    <t>application : BATCH_APPEND_GET_FILES</t>
  </si>
  <si>
    <t>application : BATCH_APPEND_LIST_FILES</t>
  </si>
  <si>
    <t>application : BATCH_GET_DRW_MDLS</t>
  </si>
  <si>
    <t>application : BATCH_GET_FILES</t>
  </si>
  <si>
    <t>application : BATCH_LIST_EXPLODED_VIEWS</t>
  </si>
  <si>
    <t>application : BATCH_LIST_FILES</t>
  </si>
  <si>
    <t>application : BATCH_LIST_INSTANCES</t>
  </si>
  <si>
    <t>application : BATCH_LIST_SIMP_REPS</t>
  </si>
  <si>
    <t>application : BATCH_RESET</t>
  </si>
  <si>
    <t>application : BATCH_SKIP</t>
  </si>
  <si>
    <t>application : BATCH_START</t>
  </si>
  <si>
    <t>application : CFG_GET_OPTION</t>
  </si>
  <si>
    <t>application : CFG_SET_OPTION</t>
  </si>
  <si>
    <t>application : DIR_CHANGE</t>
  </si>
  <si>
    <t>application : DIR_CONTAINS_BOOL</t>
  </si>
  <si>
    <t>application : DIR_CREATE</t>
  </si>
  <si>
    <t>application : DIR_DELETE</t>
  </si>
  <si>
    <t>application : DIR_EXISTS</t>
  </si>
  <si>
    <t>application : DIR_EXISTS_BOOL</t>
  </si>
  <si>
    <t>application : DIR_GET</t>
  </si>
  <si>
    <t>application : DIR_GET_NUMFILES</t>
  </si>
  <si>
    <t>application : DIR_PURGE</t>
  </si>
  <si>
    <t>application : DIR_ZIP</t>
  </si>
  <si>
    <t>application : ERASE_FILE</t>
  </si>
  <si>
    <t>application : ERASE_FILE_AND_CHILDREN</t>
  </si>
  <si>
    <t>application : ERASE_MEMORY</t>
  </si>
  <si>
    <t>application : ERASE_NOTDISPLAYED</t>
  </si>
  <si>
    <t>application : ERROR_CATCH_OFF</t>
  </si>
  <si>
    <t>application : ERROR_CATCH_ON</t>
  </si>
  <si>
    <t>application : EXIT_APPLICATION</t>
  </si>
  <si>
    <t>application : FILE_EXISTS_BOOL</t>
  </si>
  <si>
    <t>application : FILE_MOVE</t>
  </si>
  <si>
    <t>application : IN_WORKING</t>
  </si>
  <si>
    <t>application : IN_WORKING_BOOL</t>
  </si>
  <si>
    <t>application : LOG_ERROR</t>
  </si>
  <si>
    <t>application : LOG_MESSAGE</t>
  </si>
  <si>
    <t>application : MAPKEY</t>
  </si>
  <si>
    <t>application : REGISTER_CLEAR</t>
  </si>
  <si>
    <t>application : REGISTER_GET</t>
  </si>
  <si>
    <t>application : REGISTER_LOG</t>
  </si>
  <si>
    <t>application : REGISTER_SET</t>
  </si>
  <si>
    <t>application : REGISTER_SUBSTR</t>
  </si>
  <si>
    <t>application : STOP_ALERT</t>
  </si>
  <si>
    <t>application : STOP_AUTOMATION</t>
  </si>
  <si>
    <t>application : STOP_EXECUTION</t>
  </si>
  <si>
    <t>application : WAIT</t>
  </si>
  <si>
    <t>application : WC_SERVER_EXISTS</t>
  </si>
  <si>
    <t>application : WC_SERVER_SET</t>
  </si>
  <si>
    <t>application : WC_SET_USER</t>
  </si>
  <si>
    <t>application : WC_WS_BCH_APND_LIST_FILES</t>
  </si>
  <si>
    <t>application : WC_WS_BCH_LIST_FILES</t>
  </si>
  <si>
    <t>application : WC_WS_CLEAR</t>
  </si>
  <si>
    <t>application : WC_WS_CREATE</t>
  </si>
  <si>
    <t>application : WC_WS_DELETE</t>
  </si>
  <si>
    <t>application : WC_WS_EXISTS</t>
  </si>
  <si>
    <t>application : WC_WS_FILE_EXISTS_BOOL</t>
  </si>
  <si>
    <t>application : WC_WS_GET_ACTIVE</t>
  </si>
  <si>
    <t>application : WC_WS_SET</t>
  </si>
  <si>
    <t>application : ZIP_FILES</t>
  </si>
  <si>
    <t>release : BACKUP_EXCEL</t>
  </si>
  <si>
    <t>release : CHANGE_TO</t>
  </si>
  <si>
    <t>release : CLEAR_NITRO_RELEASE_NAMES</t>
  </si>
  <si>
    <t>release : CLEAR_NITRO_SET_VARS</t>
  </si>
  <si>
    <t>release : DELETE_RELEASED_FILE</t>
  </si>
  <si>
    <t>release : IN_RELEASE</t>
  </si>
  <si>
    <t>release : IN_RELEASE_BOOL</t>
  </si>
  <si>
    <t>release : NITRO_RELEASE</t>
  </si>
  <si>
    <t>release : PURGE_RELEASED</t>
  </si>
  <si>
    <t>release : SET_NITRO_KEEP_COMP</t>
  </si>
  <si>
    <t>release : SET_NITRO_KEEP_FEAT</t>
  </si>
  <si>
    <t>release : SET_NITRO_KEEP_RELS</t>
  </si>
  <si>
    <t>release : SET_NITRO_RELEASE_DIR</t>
  </si>
  <si>
    <t>release : SET_NITRO_RELEASE_NAME</t>
  </si>
  <si>
    <t>release : SET_NITRO_SAVE</t>
  </si>
  <si>
    <t>command</t>
  </si>
  <si>
    <t>feature : GET_APPEND_COUNTS</t>
  </si>
  <si>
    <t>feature : GET_APPEND_FLATDATA</t>
  </si>
  <si>
    <t>feature : GET_APPEND_FLATSUM</t>
  </si>
  <si>
    <t>feature : GET_APPEND_NCOUNTS</t>
  </si>
  <si>
    <t>feature : GET_FLATSUM_LENGTH</t>
  </si>
  <si>
    <t>feature : GET_FLATSUM_PROFILES</t>
  </si>
  <si>
    <t>feature : GET_ID</t>
  </si>
  <si>
    <t>feature : NAME_AT_INDEX</t>
  </si>
  <si>
    <t>feature : NAME_EXISTS</t>
  </si>
  <si>
    <t>feature : PARAM_DELETE</t>
  </si>
  <si>
    <t>feature : PARAM_EXISTS</t>
  </si>
  <si>
    <t>feature : PARAM_GET</t>
  </si>
  <si>
    <t>feature : PARAM_GET_APPEND</t>
  </si>
  <si>
    <t>feature : PARAM_GET_TO_ROWS</t>
  </si>
  <si>
    <t>feature : PARAM_GET_TO_ROWS_TYPES</t>
  </si>
  <si>
    <t>feature : PARAM_SET</t>
  </si>
  <si>
    <t>feature : PARAM_SET_CREATE</t>
  </si>
  <si>
    <t>feature : RENAME</t>
  </si>
  <si>
    <t>feature : RENAME_GROUP_FEAT</t>
  </si>
  <si>
    <t>feature : RENAME_INDEX</t>
  </si>
  <si>
    <t>feature : RENAME_LAST</t>
  </si>
  <si>
    <t>feature : RENAME_PATTERN</t>
  </si>
  <si>
    <t>feature : RENAME_PATTERN_RANGE</t>
  </si>
  <si>
    <t>feature : RENAME_TYPE</t>
  </si>
  <si>
    <t>feature : SUPPRESS_TYPE</t>
  </si>
  <si>
    <t>feature : TYPE_EXISTS</t>
  </si>
  <si>
    <t>model : MODEL_VIEW_SAVE</t>
  </si>
  <si>
    <t>Object : Action</t>
  </si>
  <si>
    <t>_YES_</t>
  </si>
  <si>
    <t>Delete a Material from a Part</t>
  </si>
  <si>
    <t>Get the current Material for a Part</t>
  </si>
  <si>
    <t>Load a Material File into a Part</t>
  </si>
  <si>
    <t>Load a Material File into a Part and make it the current Material</t>
  </si>
  <si>
    <t>Set the current Material for a Part</t>
  </si>
  <si>
    <t>model : MATL_SET_CUR</t>
  </si>
  <si>
    <t>model : MATL_DELETE</t>
  </si>
  <si>
    <t>model : MATL_GET_CUR</t>
  </si>
  <si>
    <t>model : MATL_LOAD</t>
  </si>
  <si>
    <t>model : MATL_LOAD_SET</t>
  </si>
  <si>
    <t>Object : Action (VIDEO HELP)</t>
  </si>
  <si>
    <t>model : OPEN_PVZ</t>
  </si>
  <si>
    <t>model : DELETE_RANGE</t>
  </si>
  <si>
    <t>Delete a set of Models given in a Worksheet Range from within an Assembly</t>
  </si>
  <si>
    <t>model : MATL_ACTIVE_BOOL</t>
  </si>
  <si>
    <t>model : MATL_GET_APPEND</t>
  </si>
  <si>
    <t>model : MATL_EXISTS</t>
  </si>
  <si>
    <t>worksheet : TABLE_CREATE</t>
  </si>
  <si>
    <t>worksheet : TABLE_DELETE</t>
  </si>
  <si>
    <t>worksheet : TABLE_CLEAR</t>
  </si>
  <si>
    <t>worksheet : TABLE_EXISTS_BOOL</t>
  </si>
  <si>
    <t>application : REGISTER_VAL_LIKE</t>
  </si>
  <si>
    <t>videoLink</t>
  </si>
  <si>
    <t>Get the matching list of Models from a Drawing and append them to a Batch Sheet</t>
  </si>
  <si>
    <t>Get the matching list of files from Pro/E Memory and append them to a Batch Sheet</t>
  </si>
  <si>
    <t>Get the list of files from a Directory and append them to a Batch Sheet</t>
  </si>
  <si>
    <t>Get a list of Models on a Drawing and create/update a Batch Sheet</t>
  </si>
  <si>
    <t>Get the list of files from Pro/E Memory and create/update a Batch Sheet</t>
  </si>
  <si>
    <t>Get the list of files from a Directory and create/update a Batch Sheet</t>
  </si>
  <si>
    <t>Get a list of Simp Reps from a specified file and create/update a Batch Sheet</t>
  </si>
  <si>
    <t>Get number of files in a Directory</t>
  </si>
  <si>
    <t>Create a new Directory (Relative)</t>
  </si>
  <si>
    <t>File Exists - Boolean response</t>
  </si>
  <si>
    <t>Move File(s) to/between sub-Directory(ies)</t>
  </si>
  <si>
    <t>Check to see if the file is in the working directory - Return Bool</t>
  </si>
  <si>
    <t>Write a custom message to the Application Log</t>
  </si>
  <si>
    <t>application : REGISTER_EXISTS</t>
  </si>
  <si>
    <t>Check if a REGISTER Exists</t>
  </si>
  <si>
    <t>Log the Registry Variable and Value</t>
  </si>
  <si>
    <t>Substitute RegVar Values into an Input String</t>
  </si>
  <si>
    <t>Check if a REGISTER Value is LIKE something</t>
  </si>
  <si>
    <t>Stop Application Execution and Display an Alert Dialog</t>
  </si>
  <si>
    <t>application : WC_CHECKED_OUT</t>
  </si>
  <si>
    <t>Check whether a File is checked out in a Local Workspace</t>
  </si>
  <si>
    <t>Send WindChill login/password information from Settings Nitro-CELL Dialog</t>
  </si>
  <si>
    <t>Get the list of files from a Windchill Workspace and append them to a Batch Sheet</t>
  </si>
  <si>
    <t>Get the list of files from a Windchill Workspace and create/update a Batch Sheet</t>
  </si>
  <si>
    <t>File Exists in Workspace - Boolean response</t>
  </si>
  <si>
    <t>Report the Total Length of the Profiles in a Flat Pattern</t>
  </si>
  <si>
    <t>Report Count of Profiles in a Flat Pattern</t>
  </si>
  <si>
    <t>Get the State of a named feature and write to Excel</t>
  </si>
  <si>
    <t>Does a Named Feature Exists</t>
  </si>
  <si>
    <t>Supress a Feature Type within the Active Model</t>
  </si>
  <si>
    <t>Does a Feature by TYPE NAME Exists</t>
  </si>
  <si>
    <t>Assemble a Source Model &amp; Csys to A Target Model &amp; Csys and suppress it</t>
  </si>
  <si>
    <t>Add new Sheet to Drawing at an optional position</t>
  </si>
  <si>
    <t>Create a new Drawing using a Drawing Template</t>
  </si>
  <si>
    <t>Export a First Article Inspection Report (FAIR) Drawing and XLS File</t>
  </si>
  <si>
    <t>Get the Number of Sheets</t>
  </si>
  <si>
    <t>Get the Active Sheet Number</t>
  </si>
  <si>
    <t>Return BOOL value if a drwaing has Dimensions of Type / default ANY</t>
  </si>
  <si>
    <t>Add a Model to a Drrawing</t>
  </si>
  <si>
    <t>Get Number of Models associated with a Drawing</t>
  </si>
  <si>
    <t>Delete a Model associated with a Drawing</t>
  </si>
  <si>
    <t>Get if a Model Exists on a Drawing</t>
  </si>
  <si>
    <t>Get the Active Model on a Drawing</t>
  </si>
  <si>
    <t>Determine if a Symbol Exists on Drawing</t>
  </si>
  <si>
    <t>Get the Drawing View Counts</t>
  </si>
  <si>
    <t>Delete a Model View - will delete dependent views!</t>
  </si>
  <si>
    <t>Check to see is a Named Drawing View Exists</t>
  </si>
  <si>
    <t>Set the X,Y Location of a Drawing View</t>
  </si>
  <si>
    <t>Export a IGES File of a Model using a Creo4 export profile</t>
  </si>
  <si>
    <t>Export a STEP File using a Creo4 export profile</t>
  </si>
  <si>
    <t>Open a Family Table Instance</t>
  </si>
  <si>
    <t>Get the name of the active Model</t>
  </si>
  <si>
    <t>Get Model or Drawing Relations and Append them to a Data Sheet</t>
  </si>
  <si>
    <t>Get the root name of a model / drawing</t>
  </si>
  <si>
    <t>Get Model Mass Units</t>
  </si>
  <si>
    <t>Compute Bounding Box Volume LxWxD</t>
  </si>
  <si>
    <t>Get a Model's Surface Area from Mass Properties</t>
  </si>
  <si>
    <t>Get a Model's Volume from Mass Properties</t>
  </si>
  <si>
    <t>Create a Model Layer</t>
  </si>
  <si>
    <t>Determine if a Model Layer Exists</t>
  </si>
  <si>
    <t>Check to see if a Material exists AND is current on a Part</t>
  </si>
  <si>
    <t>Check to see if a Material exists on a Part</t>
  </si>
  <si>
    <t>Open and Activate a Model from Hard Drive of InSession</t>
  </si>
  <si>
    <t>Open a Product View Visualization File</t>
  </si>
  <si>
    <t>Report Items, Counts, and Parameters in an Active Assembly</t>
  </si>
  <si>
    <t>Set Model Length Units</t>
  </si>
  <si>
    <t>Set Model Mass Units</t>
  </si>
  <si>
    <t>Get Model or Drawing Notes and Append them to a Data Sheet</t>
  </si>
  <si>
    <t>Set or Create a Note Value</t>
  </si>
  <si>
    <t>Get Model or Drawing Parameters and Append them to a Data Sheet</t>
  </si>
  <si>
    <t>Get Model Parameters by Name and Report them as a Row w Column Values</t>
  </si>
  <si>
    <t>Set a Parameter Designation</t>
  </si>
  <si>
    <t>Backup Comma Separated list of Workhseet Names</t>
  </si>
  <si>
    <t>Check to see if the file is in the RELEASE directory</t>
  </si>
  <si>
    <t>Check to see if the file is in the RELEASE directory - Returns Bool</t>
  </si>
  <si>
    <t>Execute the Nitro-RELEASE Functions</t>
  </si>
  <si>
    <t>Tell Nitro-CELL to KEEP specific COMPONENTS in Model(s) during NITRO_RELEASE</t>
  </si>
  <si>
    <t>Tell Nitro-CELL to KEEP specific FEATURES in Model(s) during NITRO_RELEASE</t>
  </si>
  <si>
    <t>Tell Nitro-CELL to KEEP specific RELATIONS in Model(s) during NITRO_RELEASE</t>
  </si>
  <si>
    <t>Specify a Model's Release Name for Nitro-CELL to process</t>
  </si>
  <si>
    <t>Tell Nitro-CELL to SAVE rather than BACKUP the model(s) during NITRO_RELEASE</t>
  </si>
  <si>
    <t>Append a row of data starting at a Column in a Worksheet</t>
  </si>
  <si>
    <t>Delete all rows from a Batch Worksheet below the header.</t>
  </si>
  <si>
    <t>Delete all rows from a Data Worksheet below the header.</t>
  </si>
  <si>
    <t>Clear the Values in a Specificed Worksheet and Named or Excel Range</t>
  </si>
  <si>
    <t>Copy a specified Range to a new lcoation within the Worksheet/workbook</t>
  </si>
  <si>
    <t>Delete the content and formattting for a specified Worksheet and Excel Range</t>
  </si>
  <si>
    <t>Export a Worksheet to a ProTable File</t>
  </si>
  <si>
    <t>Get the number of Columns between Min/Max within a Specified Row/Worksheet</t>
  </si>
  <si>
    <t>Get the number of Rows between Min/Max within a Specified Column/Worksheet</t>
  </si>
  <si>
    <t>Select a specified Cell/Range in a Worksheet</t>
  </si>
  <si>
    <t>Process a Data Worksheet &amp; Regenerate</t>
  </si>
  <si>
    <t>Check for Sheetname exists</t>
  </si>
  <si>
    <t>Write Formulas into a specific worksheet and Cell or Range</t>
  </si>
  <si>
    <t>Delete a Specified Parameter using Tables</t>
  </si>
  <si>
    <t>Verify that a Parameter Exists using Tables</t>
  </si>
  <si>
    <t>Copy a Parameter and Value to a New or Existing Prameter using Tables</t>
  </si>
  <si>
    <t>worksheet : PQ_CONN_CREATE</t>
  </si>
  <si>
    <t>Create Power Query Connection to Table Name</t>
  </si>
  <si>
    <t>worksheet : PQ_CONN_DELETE</t>
  </si>
  <si>
    <t>Delete a Power Query Connection</t>
  </si>
  <si>
    <t>Clear an Excel Table Object</t>
  </si>
  <si>
    <t>Create an Excel Table Object</t>
  </si>
  <si>
    <t>Delete an Excel Table Object</t>
  </si>
  <si>
    <t>Check if a Table Exists in the Workbook</t>
  </si>
  <si>
    <t>tbl_model : REPORT_ITEM_CNT_PARMS</t>
  </si>
  <si>
    <t>tbl_note : GET</t>
  </si>
  <si>
    <t>tbl_parameter : COPY</t>
  </si>
  <si>
    <t>tbl_parameter : DELETE</t>
  </si>
  <si>
    <t>tbl_parameter : EXISTS</t>
  </si>
  <si>
    <t>tbl_parameter : GET</t>
  </si>
  <si>
    <t>tbl_parameter : IS_DESIGNATED</t>
  </si>
  <si>
    <t>tbl_parameter : SET</t>
  </si>
  <si>
    <t>tbl_parameter : SET_CREATE</t>
  </si>
  <si>
    <t>tbl_parameter : SET_STATE</t>
  </si>
  <si>
    <t>Default: currentDir
Arg Options: 
 - dirName
 - REG:regVar</t>
  </si>
  <si>
    <t>message
 - REG:regVar</t>
  </si>
  <si>
    <t>REG:regVar(*)
 - REG:regVar</t>
  </si>
  <si>
    <t>Default: regVar
Arg Options: 
 - REG:regVar(*)
 - REG:regVar</t>
  </si>
  <si>
    <t>Default: activeModel
Arg Options: 
 - model.ext(*)
 - TBL:tblSrc
 - REG:regVar
Table Cols:
[itemName*]</t>
  </si>
  <si>
    <t>tbl_feature : GET_FLATSUM_LENGTH</t>
  </si>
  <si>
    <t>tbl_feature : GET_FLATSUM_PROFILES</t>
  </si>
  <si>
    <t>tbl_feature : PARAM_GET_TYPES</t>
  </si>
  <si>
    <t>Default: activeModel
Arg Options: 
 - model.ext
 - REG:regVar</t>
  </si>
  <si>
    <t>Default: activeDrawing
Arg Options: 
 - drawing.ext
 - REG:regVar</t>
  </si>
  <si>
    <t>Default: actvieDrawing
Arg Options: 
 - drawing.ext
 - REG:regVar</t>
  </si>
  <si>
    <t>model.ext(*)
 - REG:regVar</t>
  </si>
  <si>
    <t>model.ext
 - REG:regVar</t>
  </si>
  <si>
    <t>tbl_model : GET_LENGTH_UNITS</t>
  </si>
  <si>
    <t>tbl_model : GET_MASS_UNITS</t>
  </si>
  <si>
    <t>tbl_model : GET_MP_BBOX</t>
  </si>
  <si>
    <t>tbl_model : LIST_INSTANCES</t>
  </si>
  <si>
    <t>tbl_model : OPEN</t>
  </si>
  <si>
    <t>Default: activeModel
Arg Options: 
 - model.ext(*)
 - REG:regVar</t>
  </si>
  <si>
    <t>Default: activeDrawing
Arg Options: 
 - drawing.drw
 - REG:regVar</t>
  </si>
  <si>
    <t>Default: all models
Arg Options: 
 - model.ext(*)
 - REG:regVar</t>
  </si>
  <si>
    <t>Default: all files
Arg Options: 
 - model.ext(*)
 - REG:regVar</t>
  </si>
  <si>
    <t>worksheetName(*)
 - REG:regVar</t>
  </si>
  <si>
    <t>worksheetName
 - REG:regVar</t>
  </si>
  <si>
    <t>configOptionName
 - REG:regVar</t>
  </si>
  <si>
    <t>dirName
 - REG:regVar</t>
  </si>
  <si>
    <t>Directory contains file(s) - Boolean response</t>
  </si>
  <si>
    <t>dirname
 - REG:regVar</t>
  </si>
  <si>
    <t>dirname(*)
 - REG:regVar</t>
  </si>
  <si>
    <t>dirName(*)
 - REG:regVar</t>
  </si>
  <si>
    <t>Default: ActiveModel
Arg Options: 
 - model.ext(*)
 - REG:regVar</t>
  </si>
  <si>
    <t>Default: allActions
Arg Options: 
 - actionType
 - REG:regVar</t>
  </si>
  <si>
    <t>filename.ext(*)
 - REG:regVar</t>
  </si>
  <si>
    <t>Default: ALL
Arg Options: 
 - regVar(*)
 - regVar
 - REG:regVar</t>
  </si>
  <si>
    <t>regVar
 - regVar
 - REG:regVar</t>
  </si>
  <si>
    <t>regVar
 - REG:regVar</t>
  </si>
  <si>
    <t>seconds (decimal)
 - REG:regVar</t>
  </si>
  <si>
    <t>Default: activeWorkspace
Arg Options: 
 - workspaceName or (NCELL_WORKSPACE)
 - REG:regVar</t>
  </si>
  <si>
    <t>serverAddress or serverAlias
 - REG:regVar</t>
  </si>
  <si>
    <t xml:space="preserve">Get the current Local Workspace on the current Server
</t>
  </si>
  <si>
    <t>fileNames.ext(*)
 - REG:regVar</t>
  </si>
  <si>
    <t>Get the name of a Feature by Sequence Index within a Feature Type.  Acts on the active model only.</t>
  </si>
  <si>
    <t>Default: allTypes
Arg Options: 
 - featureType
 - REG:regVar</t>
  </si>
  <si>
    <t>Delete a Specified Feature Parameter on the Active Model</t>
  </si>
  <si>
    <t>FeatName(*)
 - REG:regVar</t>
  </si>
  <si>
    <t>Verify that a Feature Parameter Exists on the Active Model</t>
  </si>
  <si>
    <t>FeatName
 - REG:regVar</t>
  </si>
  <si>
    <t>Get a Specified Feature Parameter Value on the Active Model and Put it in a Worksheet / Cell</t>
  </si>
  <si>
    <t>Get Model or Drawing Feature Parameters on the Active Model and Append them to a Data Sheet</t>
  </si>
  <si>
    <t>Default: allFeatures
Arg Options: 
 - FeatName(*)
 - REG:regVar</t>
  </si>
  <si>
    <t>Get Feature Parameters by Name and Report them as a Row w Column Values.  Multiple matches will be as multiple rows that can include variables for "each" match - each.model, each.modelName, each.modelExt, each.lengthUnits, each.massUnits, each.featureName, each.featureType, each.featureId - and then Prameter Names List (Comma separated)</t>
  </si>
  <si>
    <t>Get Feature Parameters by Type and Report them as a Row w Column Values.  Multiple matches will be as multiple rows that can include variables for "each" match - each.model, each.modelName, each.modelExt, each.lengthUnits, each.massUnits, each.featureName, each.featureType, each.featureId - and then Prameter Names List (Comma separated)</t>
  </si>
  <si>
    <t>Default: allTypes
Arg Options: 
 - FeatType(*)
 - REG:regVar</t>
  </si>
  <si>
    <t>Set a Feature Parameter Value on the Active Model</t>
  </si>
  <si>
    <t>Set or Create a Feature Parameter Value on the Active Model</t>
  </si>
  <si>
    <t>Rename the features in a Group.  Specify featureType to rename a specific type in a Group Pattern.  Use [start] to indicate text to be incremented - e.g. FOOT[10], STEP_[C], etc</t>
  </si>
  <si>
    <t>Rename a Feature by Sequence Index within a Feature Type</t>
  </si>
  <si>
    <t>Rename the features in a Pattern.  Specify featureType to rename a specific type in a Group Pattern.  Use [start] to indicate text to be incremented - e.g. FOOT[10], STEP_[C], etc</t>
  </si>
  <si>
    <t>Rename the features in a active model Pattern using a Range of Values in Excel.  Specify featureType to rename a specific type in a Group Pattern.</t>
  </si>
  <si>
    <t>patternName
 - REG:regVar</t>
  </si>
  <si>
    <t>Rename all Features of a given Feature Type.  Use [start] to indicate text to be incremented - e.g. FOOT[10], STEP_[C], etc</t>
  </si>
  <si>
    <t>srcModel.ext
 - REG:regVar</t>
  </si>
  <si>
    <t>Default: currentWindow
Arg Options: 
 - model.ext
 - REG:regVar</t>
  </si>
  <si>
    <t>model : DISPLAY</t>
  </si>
  <si>
    <t>Display the given model, but do not Activate it.</t>
  </si>
  <si>
    <t>Default: activeModel.drw
Arg Options: 
 - drawing.ext
 - REG:regVar</t>
  </si>
  <si>
    <t>Select/Activate the First Drawing Sheet</t>
  </si>
  <si>
    <t>Select/Activate the Last Drawing Sheet</t>
  </si>
  <si>
    <t>Select/Activate a Drawing Sheet By Number (1-based)</t>
  </si>
  <si>
    <t>newViewName
 - REG:regVar</t>
  </si>
  <si>
    <t>Get a View Location [X,Y]</t>
  </si>
  <si>
    <t>Move a specified view by X and Y increments</t>
  </si>
  <si>
    <t>Return the View Scale of a specfied view</t>
  </si>
  <si>
    <t>Set the view scale by name or Wildcard across all views</t>
  </si>
  <si>
    <t>model : EXPORT_PVZ</t>
  </si>
  <si>
    <t>Export a ProductView File of a Model</t>
  </si>
  <si>
    <t>Get the extension of a model / drawing</t>
  </si>
  <si>
    <t>Check to see if a file is in Creo (active or in memory) - Return Boolean</t>
  </si>
  <si>
    <t>Delete a Layer from within a Model or Drawings  NOTE: Creo may not remove deleted layers from the display</t>
  </si>
  <si>
    <t>Default: allModels
Arg Options: 
 - model.ext(*)
 - REG:regVar</t>
  </si>
  <si>
    <t>Default: activeModel
Arg Options: 
 - model.prt
 - REG:regVar</t>
  </si>
  <si>
    <t>Default: activeModel
Arg Options: 
 - model.prt(*)
 - REG:regVar</t>
  </si>
  <si>
    <t>Get the list of material files in a model and write to a Data sheet</t>
  </si>
  <si>
    <t>Report Items, Counts, and Parameters in the Active Assembly</t>
  </si>
  <si>
    <t>Default: activeDrawing
Arg Options: 
 - model.drw
 - REG:regVar</t>
  </si>
  <si>
    <t>Default: all worksheets
Arg Options: 
 - worksheetName(s)(*)
 - REG:regVar</t>
  </si>
  <si>
    <t>file.ext(*)
 - REG:regVar</t>
  </si>
  <si>
    <t>Default: activeModel
Arg Options: 
 - file.ext(*)
 - REG:regVar</t>
  </si>
  <si>
    <t>Default: activeModel
Arg Options: 
 - filename.ext
 - REG:regVar</t>
  </si>
  <si>
    <t>Report the Total Length of the Profiles in a Flat Pattern Part</t>
  </si>
  <si>
    <t>Report Count of Profiles in a Flat Pattern Part</t>
  </si>
  <si>
    <t>Get Feature Parameters by Type and Report them as a Row w Column Values.  Multiple matches will be as multiple rows that can include variables for "each" match - each.itemName, each.modelName, each.itemRoot, each.modelExt, each.lengthUnits, each.massUnits, each.featureName, each.featureType, each.featureId - and then Prameter Names List (Comma separated)</t>
  </si>
  <si>
    <t>Default: currentWorksheet
Arg Options: 
 - worksheetName
 - REG:regVar</t>
  </si>
  <si>
    <t>worksheet : EXPORT_TABLE_AS_CSV</t>
  </si>
  <si>
    <t>Export a Worksheet Table to a CSV file</t>
  </si>
  <si>
    <t>tableName
 - REG:regVar</t>
  </si>
  <si>
    <t>Default: 50
Arg Options: 
 - iterationLimit
 - REG:regVar</t>
  </si>
  <si>
    <t>worksheet : PIVOT_ADD_CNTFIELD</t>
  </si>
  <si>
    <t>Add a Pivot COUNT Field to a Pivot Table</t>
  </si>
  <si>
    <t>Default: targetPivotTable
Arg Options: 
 - pivotTableName(opt)
 - REG:regVar</t>
  </si>
  <si>
    <t>Default: currentWorksheet
Arg Options: 
 - srcWorksheet(opt)
 - REG:regVar</t>
  </si>
  <si>
    <t>pivotTableName
 - REG:regVar</t>
  </si>
  <si>
    <t>Default: targetPivotTable
Arg Options: 
 - pivotTableName
 - REG:regVar</t>
  </si>
  <si>
    <t>Format a Pivot VALUE Field in a PivotTable, uses standard Excel number formatting (e.g., "$#,##0.00", "#,###,##0")</t>
  </si>
  <si>
    <t>Default: "ncPivot"
Arg Options: 
 - pivotTableName
 - REG:regVar</t>
  </si>
  <si>
    <t>Default: all worksheets
Arg Options: 
 - worksheetName(opt)
 - REG:regVar</t>
  </si>
  <si>
    <t>tblName
 - REG:regVar</t>
  </si>
  <si>
    <t>pqConnName(*)
 - REG:regVar</t>
  </si>
  <si>
    <t>worksheet : PQ_CONN_EXISTS_BOOL</t>
  </si>
  <si>
    <t>Valdiate if a Power Query Conenction Exists</t>
  </si>
  <si>
    <t>pqConnName
 - REG:regVar</t>
  </si>
  <si>
    <t>srcWorksheetName(opt)
 - REG:regVar</t>
  </si>
  <si>
    <t>formula
 - REG:regVar</t>
  </si>
  <si>
    <t>tbl_application : MAPKEY</t>
  </si>
  <si>
    <t>tbl_model : REGENERATE</t>
  </si>
  <si>
    <t>tbl_model : RENAME_INSESSION</t>
  </si>
  <si>
    <t>tbl_model : RESUME</t>
  </si>
  <si>
    <t>tbl_model : SUPPRESS</t>
  </si>
  <si>
    <t>tbl_model : RESUME_CHILDREN</t>
  </si>
  <si>
    <t>tbl_model : ASSEMBLE</t>
  </si>
  <si>
    <t>tbl_model : ASSEMBLE_SUPPRESS</t>
  </si>
  <si>
    <t>tbl_model : ASSEMBLE_ALL_ROOT</t>
  </si>
  <si>
    <t>tbl_model : SAVE</t>
  </si>
  <si>
    <t>tbl_model : SAVE_AS</t>
  </si>
  <si>
    <t>tbl_model : SAVE_AS_TO_RELEASED</t>
  </si>
  <si>
    <t>tbl_model : SAVE_TO_RELEASED</t>
  </si>
  <si>
    <t>tbl_model : REPORT_ITEM_COUNTS</t>
  </si>
  <si>
    <t>tbl_application : GET_FILES</t>
  </si>
  <si>
    <t>Get the matching list of files from Pro/E Memory and append them to a Table</t>
  </si>
  <si>
    <t>tbl_application : LIST_FILES</t>
  </si>
  <si>
    <t>Get the list of files from a Directory and append them to a Table</t>
  </si>
  <si>
    <t>tbl_application : WC_WS_LIST_FILES</t>
  </si>
  <si>
    <t>Get the list of files from a Windchill Workspace and append them to a Table</t>
  </si>
  <si>
    <t>Default: activeModel
Arg Options: 
 - model.ext(*)
 - TBL:tblSrc
 - REG:regVar
Table Cols:
[itemName*,componentPattern*]</t>
  </si>
  <si>
    <t>Default: activeModel
Arg Options: 
 - model.ext
 - TBL:tblSrc
 - REG:regVar
Table Cols:
[itemName*]</t>
  </si>
  <si>
    <t>Get Model or Drawing Relations and Append them to a Table</t>
  </si>
  <si>
    <t>tbl_model : MATL_EXISTS</t>
  </si>
  <si>
    <t>tbl_model : MATL_GET</t>
  </si>
  <si>
    <t>Get the list of material files in a model and write to excel</t>
  </si>
  <si>
    <t>tbl_model : MATL_GET_CUR</t>
  </si>
  <si>
    <t>tbl_model : MATL_LOAD</t>
  </si>
  <si>
    <t>tbl_model : MATL_LOAD_SET</t>
  </si>
  <si>
    <t>tbl_model : MATL_SET_CUR</t>
  </si>
  <si>
    <t>Default: activeModel
Arg Options: 
 - model.prt(*)
 - TBL:tblSrc
 - REG:regVar
Table Cols:
[itemName*]</t>
  </si>
  <si>
    <t>tbl_model : DELETE_RELATIONS</t>
  </si>
  <si>
    <t>tbl_feature : GET_COUNTS</t>
  </si>
  <si>
    <t>tbl_feature : GET_FLATDATA</t>
  </si>
  <si>
    <t>tbl_feature : GET_FLATSUM</t>
  </si>
  <si>
    <t>tbl_feature : GET_NCOUNTS</t>
  </si>
  <si>
    <t>tbl_feature : PARAM_GET</t>
  </si>
  <si>
    <t>Get a Specified Feature Parameter Value and Put it in a Worksheet / Cell</t>
  </si>
  <si>
    <t>Report Items and Counts in an Assembly.  Will not include top-level assembly record in output.</t>
  </si>
  <si>
    <t>Report Items and Counts in an Active Assembly.  Will not include top-level assembly record in output.</t>
  </si>
  <si>
    <t>tbl_feature : PARAM_EXISTS</t>
  </si>
  <si>
    <t>Verify that a Feature Parameter Exists</t>
  </si>
  <si>
    <t>tbl_application : FILE_EXISTS_BOOL</t>
  </si>
  <si>
    <t>tbl_application : IN_WORKING</t>
  </si>
  <si>
    <t>tbl_feature : TYPE_EXISTS</t>
  </si>
  <si>
    <t>tbl_model : FAMILY_TBL_EXISTS</t>
  </si>
  <si>
    <t>tbl_model : FAMILY_TBL_INST_EXISTS</t>
  </si>
  <si>
    <t>tbl_model : GET_MP_BBOX_VOL</t>
  </si>
  <si>
    <t>tbl_model : GET_MP_BBOX_XYZ</t>
  </si>
  <si>
    <t>tbl_model : GET_MP_SURF_AREA</t>
  </si>
  <si>
    <t>tbl_model : GET_MP_VOL</t>
  </si>
  <si>
    <t>tbl_note : EXISTS</t>
  </si>
  <si>
    <t>tbl_application : ERASE_FILE</t>
  </si>
  <si>
    <t>tbl_application : ERASE_FILE_AND_CHILDREN</t>
  </si>
  <si>
    <t>tbl_application : FILE_MOVE</t>
  </si>
  <si>
    <t>tbl_model : EXPORT_DXF</t>
  </si>
  <si>
    <t>tbl_model : EXPORT_IGES</t>
  </si>
  <si>
    <t>tbl_model : EXPORT_IGES_PROFILE</t>
  </si>
  <si>
    <t>tbl_model : EXPORT_STEP</t>
  </si>
  <si>
    <t>tbl_model : EXPORT_STEP_PROFILE</t>
  </si>
  <si>
    <t>tbl_model : EXPORT_PDF</t>
  </si>
  <si>
    <t>tbl_model : EXPORT_3D_PDF</t>
  </si>
  <si>
    <t>tbl_model : EXPORT_DRW_PDF</t>
  </si>
  <si>
    <t>tbl_model : FAMILY_TBL_OPEN_INST</t>
  </si>
  <si>
    <t>tbl_model : DRW_EXPORT_FAIR</t>
  </si>
  <si>
    <t>Default: activeModel
Arg Options: 
 - model.ext(opt)(*)
 - REG:regVar</t>
  </si>
  <si>
    <t>Default: activeModel
Arg Options: 
 - model.ext(opt)
 - REG:regVar</t>
  </si>
  <si>
    <t>Save a Model View</t>
  </si>
  <si>
    <t>filename.ext(*)
 - TBL:tblSrc
 - REG:regVar
Table Cols:
[itemName*]</t>
  </si>
  <si>
    <t>Default: activeModel
Arg Options: 
 - model.ext(opt)(*)
 - TBL:tblSrc
 - REG:regVar
Table Cols:
[itemName*]</t>
  </si>
  <si>
    <t xml:space="preserve"> - REG:regVar</t>
  </si>
  <si>
    <t>dataSheetName
 - REG:regVar</t>
  </si>
  <si>
    <t>worksheet : AUTOFIT</t>
  </si>
  <si>
    <t>tbl_feature : GET_STATE</t>
  </si>
  <si>
    <t>tbl_model : GET_STATE</t>
  </si>
  <si>
    <t>tbl_feature : SUPPRESS</t>
  </si>
  <si>
    <t>Default: activeModel
Arg Options: 
 - assemblyName.ext
 - REG:regVar</t>
  </si>
  <si>
    <t>Autofit a specific Worksheet(s)</t>
  </si>
  <si>
    <t>tbl_feature : DELETE</t>
  </si>
  <si>
    <t>tbl_feature : GET_ID</t>
  </si>
  <si>
    <t>tbl_feature : SUPPRESS_TYPE</t>
  </si>
  <si>
    <t>tbl_feature : RESUME</t>
  </si>
  <si>
    <t>tbl_feature : RESUME_CHILDREN</t>
  </si>
  <si>
    <t>tbl_feature : PARAM_DELETE</t>
  </si>
  <si>
    <t>Delete a Specified Feature Parameter</t>
  </si>
  <si>
    <t>tbl_feature : PARAM_SET</t>
  </si>
  <si>
    <t>Set a Feature Parameter Value</t>
  </si>
  <si>
    <t>tbl_feature : PARAM_SET_CREATE</t>
  </si>
  <si>
    <t>Set or Create a Feature Parameter Value</t>
  </si>
  <si>
    <t>tbl_note : SET_CREATE</t>
  </si>
  <si>
    <t>Move File(s) to/between sub-Directory(ies) (requires full names and extensions)</t>
  </si>
  <si>
    <t>Default: activeModel
Arg Options: 
 - model.ext
 - TBL:tblSrc
 - REG:regVar
Table Cols:
[itemName*, featName*]</t>
  </si>
  <si>
    <t>tbl_note : COPY</t>
  </si>
  <si>
    <t>tbl_note : DELETE</t>
  </si>
  <si>
    <t>tbl_model : MATL_DELETE</t>
  </si>
  <si>
    <t>tbl_model : SET_LENGTH_UNITS</t>
  </si>
  <si>
    <t>tbl_model : SET_MASS_UNITS</t>
  </si>
  <si>
    <t>tbl_model : DELETE</t>
  </si>
  <si>
    <t>tbl_model : DELETE_FAMILY_TBL</t>
  </si>
  <si>
    <t>tbl_model : DELETE_SUPPRESSED</t>
  </si>
  <si>
    <t>tbl_model : DRW_CREATE</t>
  </si>
  <si>
    <t>worksheet : CREATE</t>
  </si>
  <si>
    <t>Create an empty Worksheet</t>
  </si>
  <si>
    <t>worksheet : CLEAR_XLS_TABLE</t>
  </si>
  <si>
    <t>Clear a specified Excel Table Object</t>
  </si>
  <si>
    <t>tbl_application : BATCH_START</t>
  </si>
  <si>
    <t>worksheet : MACRO_RUN_WORKBOOK</t>
  </si>
  <si>
    <t>Exceute a Excel Workbook-Defined Macro</t>
  </si>
  <si>
    <t>worksheet : MACRO_RUN_APPLICATION</t>
  </si>
  <si>
    <t>Exceute a Excel Application / Module-Defined Macro</t>
  </si>
  <si>
    <t>macroName
 - REG:regVar</t>
  </si>
  <si>
    <t>https://www.youtube.com/playlist?list=PLcWd1Ea7i_tzPaffkk5RZ1cjlImQMTp8v</t>
  </si>
  <si>
    <t>TBL:tblName
 - TBL:tblSrc
 - REG:regVar
Table Cols:
[itemName*, tgtItem(opt), tgtModel(opt), compName(opt)]</t>
  </si>
  <si>
    <t>https://www.youtube.com/playlist?list=PLcWd1Ea7i_tyBsBY1lGLX-O3tYpXWpdOB</t>
  </si>
  <si>
    <t>TBL:tblName
 - TBL:tblSrc
 - REG:regVar
Table Cols:
[itemName*]</t>
  </si>
  <si>
    <t>paramName
 - REG:regVar</t>
  </si>
  <si>
    <t>tgtWorksheet / REGISTER
 - REG:regVar</t>
  </si>
  <si>
    <t>tgtCellAddress
 - regVar
 - REG:regVar</t>
  </si>
  <si>
    <t>https://www.youtube.com/playlist?list=PLcWd1Ea7i_tx7Otp4C0SPfnLl3OvqyjuI</t>
  </si>
  <si>
    <t>paramName(*)
 - REG:regVar</t>
  </si>
  <si>
    <t>Default: all values
Arg Options: 
 - paramValue(opt)(*)
 - REG:regVar</t>
  </si>
  <si>
    <t>tblName
 - tblName
 - REG:regVar
Default Table Cols:
[itemName, itemRoot, paramName, paramValue, paramType, paramDesignate]</t>
  </si>
  <si>
    <t>paramValue
 - REG:regVar
 - NULL</t>
  </si>
  <si>
    <t>https://www.youtube.com/playlist?list=PLcWd1Ea7i_txlPmV6dvCjpCrP5KrKBcTt</t>
  </si>
  <si>
    <t>TBL:tblName
 - TBL:tblSrc
 - REG:regVar
Table Cols:
[itemName*, paramName, paramValue(opt), paramDesignate(T/F)(opt)]</t>
  </si>
  <si>
    <t>Default: STRING
Arg Options: 
 - paramType(opt)
 - REG:regVar</t>
  </si>
  <si>
    <t>https://www.youtube.com/playlist?list=PLcWd1Ea7i_tzQoTj6TOUhvAqoXLFS5rLi</t>
  </si>
  <si>
    <t>TBL:tblName
 - TBL:tblSrc
 - REG:regVar
Table Cols:
[itemName*, paramName, paramValue(opt), paramType(opt - string), paramDesignate(T/F)(opt)]</t>
  </si>
  <si>
    <t>newName
 - REG:regVar</t>
  </si>
  <si>
    <t>Default: curDirectory
Arg Options: 
 - tgtDirectory(opt)
 - REG:regVar</t>
  </si>
  <si>
    <t>TBL:tblName
 - TBL:tblSrc
 - REG:regVar
Table Cols:
[itemName, newItemName, toDir(opt)]</t>
  </si>
  <si>
    <t>srcCsys(opt)
 - REG:regVar</t>
  </si>
  <si>
    <t>Default: activeModel
Arg Options: 
 - tgtModel.ext(opt)(*)
 - REG:regVar</t>
  </si>
  <si>
    <t>tgtCsys(opt)(*)
 - REG:regVar</t>
  </si>
  <si>
    <t>TBL:tblName
 - TBL:tblSrc
 - REG:regVar
Table Cols:
[itemName, srcCsys, tgtModel*, tgtCsys*]</t>
  </si>
  <si>
    <t>srcCsys
 - REG:regVar</t>
  </si>
  <si>
    <t>tgtModel.ext(*)
 - REG:regVar</t>
  </si>
  <si>
    <t>TBL:tblName
 - TBL:tblSrc
 - REG:regVar
Table Cols:
[itemName*, tgtModel*]</t>
  </si>
  <si>
    <t>Default: currentDir/activeModel
Arg Options: 
 - dirname/fname(opt)
 - REG:regVar</t>
  </si>
  <si>
    <t>Default: solids
Arg Options: 
 - geomType (blank/default/solids/surfaces/quilts/wireframe/wireframe_surfaces)(opt)
 - REG:regVar</t>
  </si>
  <si>
    <t>https://www.youtube.com/playlist?list=PLcWd1Ea7i_tzUPGQ1_ihRWsvCUNgVcSTD</t>
  </si>
  <si>
    <t>TBL:tblName
 - TBL:tblSrc
 - REG:regVar
Table Cols:
[itemName*, outputName(opt)]</t>
  </si>
  <si>
    <t>Default: currentDir
Arg Options: 
 - dirname(opt)
 - REG:regVar</t>
  </si>
  <si>
    <t>https://www.youtube.com/playlist?list=PLcWd1Ea7i_tyAzXpVd6b-PauxwESQZnXb</t>
  </si>
  <si>
    <t>Default: currentDir/activeDrawing
Arg Options: 
 - dirname/fname(opt)
 - REG:regVar</t>
  </si>
  <si>
    <t>Default: all
Arg Options: 
 - sheetsToExport (all, current, sheetRange)(opt)
 - REG:regVar</t>
  </si>
  <si>
    <t>https://www.youtube.com/playlist?list=PLcWd1Ea7i_ty0ETt1_xClEODspaRIkois</t>
  </si>
  <si>
    <t>TBL:tblName
 - TBL:tblSrc
 - REG:regVar
Table Cols:
[itemName*, outputName(opt), sheetsToExport(opt)(all/current/sheetRange)(dflt:all)]</t>
  </si>
  <si>
    <t>https://www.youtube.com/playlist?list=PLcWd1Ea7i_tw8tQ9d4gGkriVswBDWLGVH</t>
  </si>
  <si>
    <t>https://www.youtube.com/playlist?list=PLcWd1Ea7i_tzJtmZAezRv97CXjKGF12AV</t>
  </si>
  <si>
    <t>https://www.youtube.com/playlist?list=PLcWd1Ea7i_tzu3aQzVsrrenH5xEqdRI-H</t>
  </si>
  <si>
    <t>tblName
 - tblName
 - REG:regVar
Default Table Cols:
[itemName, itemRoot, familyTableExists(T/F)]</t>
  </si>
  <si>
    <t>InstName(*)
 - REG:regVar</t>
  </si>
  <si>
    <t>tblName
 - tblName
 - REG:regVar
Default Table Cols:
[itemName, itemRoot, instNameMatch, instNameExists(T/F)]</t>
  </si>
  <si>
    <t>TBL:tblName
 - TBL:tblSrc
 - REG:regVar
Table Cols:
[itemName, instName*]</t>
  </si>
  <si>
    <t>drwTemplate
 - REG:regVar</t>
  </si>
  <si>
    <t>Default: 1.0
Arg Options: 
 - drwScale(opt)
 - regVar
 - REG:regVar</t>
  </si>
  <si>
    <t>TBL:tblName
 - TBL:tblSrc
 - REG:regVar
Table Cols:
[itemName*, drwTemplate, drwName(opt), drwScale(opt)]</t>
  </si>
  <si>
    <t>Default: no symbol
Arg Options: 
 - (dirname/)symbolName(opt)
 - REG:regVar</t>
  </si>
  <si>
    <t>Default: defaultTemplate
Arg Options: 
 - xlsTemplateName(opt)
 - REG:regVar</t>
  </si>
  <si>
    <t>tgtDirName/excelFile.xlsx
 - REG:regVar</t>
  </si>
  <si>
    <t>https://www.youtube.com/playlist?list=PLcWd1Ea7i_tz8QThWcXSoZOi2xZfxUrr1</t>
  </si>
  <si>
    <t>TBL:tblName
 - TBL:tblSrc
 - REG:regVar
Table Cols:
[itemName, outputName]</t>
  </si>
  <si>
    <t>tgtDirName
 - REG:regVar</t>
  </si>
  <si>
    <t>srcWorksheet
 - REG:regVar</t>
  </si>
  <si>
    <t>srcRange
 - REG:regVar</t>
  </si>
  <si>
    <t>Default: last
Arg Options: 
 - position (last)(opt)
 - REG:regVar</t>
  </si>
  <si>
    <t>sheetNumber
 - REG:regVar</t>
  </si>
  <si>
    <t>Default: currentSheet
Arg Options: 
 - sheetNumber (currentSheet)(opt)
 - REG:regVar</t>
  </si>
  <si>
    <t>dimType (ALL default)
 - REG:regVar</t>
  </si>
  <si>
    <t>Default: 1.0
Arg Options: 
 - scaleValue (1.0)(opt)
 - REG:regVar</t>
  </si>
  <si>
    <t>Default: allSheets
Arg Options: 
 - sheetNumber (ALL default)(opt)
 - REG:regVar</t>
  </si>
  <si>
    <t>(dirName/)symbolName</t>
  </si>
  <si>
    <t>xLoc,yLoc (use regional list sep)
 - regVar
 - REG:regVar</t>
  </si>
  <si>
    <t>symbolName(*)
 - REG:regVar</t>
  </si>
  <si>
    <t>viewName
 - REG:regVar</t>
  </si>
  <si>
    <t>tgtCellAddress(es) / regVar(s)  (use regional list sep)
 - regVar
 - REG:regVar</t>
  </si>
  <si>
    <t>Default: allViews
Arg Options: 
 - viewName(opt)(*)
 - REG:regVar</t>
  </si>
  <si>
    <t>xLoc,yLoc (use regional list sep)
 - REG:regVar</t>
  </si>
  <si>
    <t>Default: curSheetScale
Arg Options: 
 - scaleValue (curSheetScale)(opt)
 - REG:regVar</t>
  </si>
  <si>
    <t>modelViewName
 - REG:regVar</t>
  </si>
  <si>
    <t>Default: allModels
Arg Options: 
 - model.ext(opt)(*)
 - REG:regVar</t>
  </si>
  <si>
    <t>tgtWorksheet
 - REG:regVar</t>
  </si>
  <si>
    <t>tgtCellAddress
 - REG:regVar</t>
  </si>
  <si>
    <t>https://www.youtube.com/playlist?list=PLcWd1Ea7i_tznAZSj-_QvebbYDneb-FWK</t>
  </si>
  <si>
    <t>tblName
 - tblName
 - REG:regVar
Default Table Cols:
[topLevelName, topLevelRoot, itemName, itemRoot, itemQty]</t>
  </si>
  <si>
    <t>paramName(s) List (use regional list sep)
 - REG:regVar</t>
  </si>
  <si>
    <t>https://www.youtube.com/playlist?list=PLcWd1Ea7i_tyGcNvnsDmCLsrwIr9Dx7Kc</t>
  </si>
  <si>
    <t>tgtModelName
 - REG:regVar</t>
  </si>
  <si>
    <t>TBL:tblName
 - TBL:tblSrc
 - REG:regVar
Table Cols:
[itemName, newItemName]</t>
  </si>
  <si>
    <t>newUnits
 - REG:regVar</t>
  </si>
  <si>
    <t>Default: Y
Arg Options: 
 - convertDims (Y/N) (dflt:Y)(opt)
 - REG:regVar</t>
  </si>
  <si>
    <t>https://www.youtube.com/playlist?list=PLcWd1Ea7i_tz6OaEQYkj8NqxubM3wtqJs</t>
  </si>
  <si>
    <t>TBL:tblName
 - TBL:tblSrc
 - REG:regVar
Table Cols:
[itemName*, lengthUnits]</t>
  </si>
  <si>
    <t>https://www.youtube.com/playlist?list=PLcWd1Ea7i_twmTMLllQXD10eRcEybinp0</t>
  </si>
  <si>
    <t>TBL:tblName
 - TBL:tblSrc
 - REG:regVar
Table Cols:
[itemName*, massUnits]</t>
  </si>
  <si>
    <t>Default: anyMaterial
Arg Options: 
 - materialName(opt)
 - REG:regVar</t>
  </si>
  <si>
    <t>Default: allMaterials
Arg Options: 
 - materialName(opt)(*)
 - REG:regVar</t>
  </si>
  <si>
    <t>tblName
 - tblName
 - REG:regVar
Default Table Cols:
[itemName, itemRoot, materialName, current(T/F)]</t>
  </si>
  <si>
    <t>tgtDataWorksheet
 - REG:regVar</t>
  </si>
  <si>
    <t>tblName
 - tblName
 - REG:regVar
Default Table Cols:
[itemName, itemRoot, materialName]</t>
  </si>
  <si>
    <t>Default: currentDir
Arg Options: 
 - dirName (currentDir)(opt)
 - REG:regVar</t>
  </si>
  <si>
    <t>materialFile
 - REG:regVar</t>
  </si>
  <si>
    <t>https://www.youtube.com/playlist?list=PLcWd1Ea7i_tyi9R3xUOUXhMirv3-Ixw30</t>
  </si>
  <si>
    <t>materialName
 - REG:regVar</t>
  </si>
  <si>
    <t>tblName
 - tblName
 - REG:regVar
Default Table Cols:
[itemName, itemRoot, materialName, exists(T/F)]</t>
  </si>
  <si>
    <t>TBL:tblName
 - TBL:tblSrc
 - REG:regVar
Table Cols:
[itemName*, materialName]</t>
  </si>
  <si>
    <t>parentDrawingView
 - REG:regVar</t>
  </si>
  <si>
    <t>X or Y direction
 - REG:regVar</t>
  </si>
  <si>
    <t>distance
 - REG:regVar</t>
  </si>
  <si>
    <t>Default: allSheets
Arg Options: 
 - sheetNumber (allSheets)(opt)
 - REG:regVar</t>
  </si>
  <si>
    <t>viewName(*)
 - REG:regVar</t>
  </si>
  <si>
    <t>xDelta,yDelta (use regional list sep)
 - regVar
 - REG:regVar</t>
  </si>
  <si>
    <t>Default: relations
Arg Options: 
 - relationType (blank/POST/ALL)(opt)
 - REG:regVar</t>
  </si>
  <si>
    <t>Default: 1.0
Arg Options: 
 - scalingFactor (1.0)(opt)
 - REG:regVar</t>
  </si>
  <si>
    <t>layerName
 - REG:regVar</t>
  </si>
  <si>
    <t>layerName(*)
 - REG:regVar</t>
  </si>
  <si>
    <t>Default: assembly
Arg Options: 
 - modelType (assembly/part)(opt)
 - REG:regVar</t>
  </si>
  <si>
    <t>https://www.youtube.com/playlist?list=PLcWd1Ea7i_twkOQxI17dTrLPAemYPVrLO</t>
  </si>
  <si>
    <t>tblName
 - tblName
 - REG:regVar
Default Table Cols:
[itemName, itemRoot, lengthUnits]</t>
  </si>
  <si>
    <t>https://www.youtube.com/playlist?list=PLcWd1Ea7i_tyfaNrWCJ_OOGNe1oTgetmk</t>
  </si>
  <si>
    <t>tblName
 - tblName
 - REG:regVar
Default Table Cols:
[itemName, itemRoot, massUnits]</t>
  </si>
  <si>
    <t>https://www.youtube.com/playlist?list=PLcWd1Ea7i_tziPgKOVdbjmHFWRkzpn_SZ</t>
  </si>
  <si>
    <t>tblName
 - tblName
 - REG:regVar
Default Table Cols:
[itemName, itemRoot, length, width, depth, scaleFactor]</t>
  </si>
  <si>
    <t>https://www.youtube.com/playlist?list=PLcWd1Ea7i_ty7cUcZLS9NYy_stFxIR3yY</t>
  </si>
  <si>
    <t>tblName
 - tblName
 - REG:regVar
Default Table Cols:
[itemName, itemRoot, volume, scaleFactor]</t>
  </si>
  <si>
    <t>https://www.youtube.com/playlist?list=PLcWd1Ea7i_ty4M-Wbue5mqo19312qN7rT</t>
  </si>
  <si>
    <t>tblName
 - tblName
 - REG:regVar
Default Table Cols:
[itemName, itemRoot, xVal, yVal, zVal, scaleFactor]</t>
  </si>
  <si>
    <t>https://www.youtube.com/playlist?list=PLcWd1Ea7i_tzw1hUSWmAiwL2Qy-dNr1Tw</t>
  </si>
  <si>
    <t>tblName
 - tblName
 - REG:regVar
Default Table Cols:
[itemName, itemRoot, relationType, lineNum, relationText]</t>
  </si>
  <si>
    <t>tblName
 - tblName
 - regVar
 - REG:regVar
Default Table Cols:
[itemName, itemRoot, compName, compRoot, modelState]</t>
  </si>
  <si>
    <t>Get a list of top-level Instances from a specified file and create/update a Batch Sheet</t>
  </si>
  <si>
    <t>Default: allInstances
Arg Options: 
 - instanceName(opt)(*)
 - REG:regVar</t>
  </si>
  <si>
    <t>tblName
 - tblName
 - REG:regVar
Default Table Cols:
[itemName, itemRoot,genericName,instName]</t>
  </si>
  <si>
    <t>https://www.youtube.com/playlist?list=PLcWd1Ea7i_twt0-SVU4B_cDdpL3775nem</t>
  </si>
  <si>
    <t>TBL:tblName
 - TBL:tblSrc
 - REG:regVar
Table Cols:
[itemName, newName]</t>
  </si>
  <si>
    <t>paramState Y/N
 - REG:regVar</t>
  </si>
  <si>
    <t>https://www.youtube.com/playlist?list=PLcWd1Ea7i_tyC9lliW8xU-9FopEiFQYI-</t>
  </si>
  <si>
    <t>TBL:tblName
 - TBL:tblSrc
 - REG:regVar
Table Cols:
[itemName*, paramName, paramDesignate(T/F)]</t>
  </si>
  <si>
    <t>Default: allParams
Arg Options: 
 - paramName(opt)(*)
 - REG:regVar</t>
  </si>
  <si>
    <t>Default: allValues
Arg Options: 
 - paramValue(opt)(*)
 - REG:regVar</t>
  </si>
  <si>
    <t>https://www.youtube.com/playlist?list=PLcWd1Ea7i_tz0XzeWHyFZ9xm4GMWLuGj2</t>
  </si>
  <si>
    <t>ParamName(*)
 - REG:regVar</t>
  </si>
  <si>
    <t>tblName
 - tblName
 - REG:regVar
Default Table Cols:
[itemName, itemRoot, paramName, paramDesignate(T/F)] - parameter wildcard name match</t>
  </si>
  <si>
    <t>https://www.youtube.com/playlist?list=PLcWd1Ea7i_tzx8BFUBn4Aojh5a_4ROt8L</t>
  </si>
  <si>
    <t>tblName
 - tblName
 - REG:regVar
Default Table Cols:
[itemName, itemRoot, paramName, exists(T/F)]</t>
  </si>
  <si>
    <t>https://www.youtube.com/playlist?list=PLcWd1Ea7i_tyhafZPNv7py51919yjgv6Q</t>
  </si>
  <si>
    <t>TBL:tblName
 - TBL:tblSrc
 - REG:regVar
Table Cols:
[itemName*, paramName]</t>
  </si>
  <si>
    <t>https://www.youtube.com/playlist?list=PLcWd1Ea7i_tzETxGpEhWysy4oFd1aDlpA</t>
  </si>
  <si>
    <t>TBL:tblName
 - TBL:tblSrc
 - REG:regVar
Table Cols:
[itemName, paramName*, tgtItem, tgtParam(opt), tgtDesignate(opt)]</t>
  </si>
  <si>
    <t>Default: none
Arg Options: 
 - tgtExecWorksheet(opt)
 - REG:regVar</t>
  </si>
  <si>
    <t>Default: allReps
Arg Options: 
 - repName(opt)(*)
 - REG:regVar</t>
  </si>
  <si>
    <t>cfgValue
 - REG:regVar</t>
  </si>
  <si>
    <t>Default: N
Arg Options: 
 - ignoreErrors Y/N (N)(opt)
 - REG:regVar</t>
  </si>
  <si>
    <t>fileName(*)
 - REG:regVar</t>
  </si>
  <si>
    <t>Default: creoWorkingDir
Arg Options: 
 - sourceDir (default cwd)(opt)
 - REG:regVar</t>
  </si>
  <si>
    <t>targetDirectory
 - REG:regVar</t>
  </si>
  <si>
    <t>https://www.youtube.com/playlist?list=PLcWd1Ea7i_tzI9vWUUHkRx_ItsgN9YsD3</t>
  </si>
  <si>
    <t>Start a Batch Process using reference table, a target execution sheet and Results Table</t>
  </si>
  <si>
    <t>execWorksheetName
 - REG:regVar</t>
  </si>
  <si>
    <t>tgtCell
 - REG:regVar</t>
  </si>
  <si>
    <t>tgtTblName
 - tblName
 - REG:regVar
Default Table Cols:
[itemName, itemRoot, status (success,fail, skipped)]</t>
  </si>
  <si>
    <t>https://www.youtube.com/playlist?list=PLcWd1Ea7i_tyxrn_AS2f3QSC9C3upucP0</t>
  </si>
  <si>
    <t>https://www.youtube.com/playlist?list=PLcWd1Ea7i_tyhen2ltCuEWSVo4ibvVhup</t>
  </si>
  <si>
    <t>tblName
 - tblName
 - REG:regVar
Default Table Cols:
[itemName, itemRoot]</t>
  </si>
  <si>
    <t>https://www.youtube.com/playlist?list=PLcWd1Ea7i_tz_F1Juo39XXVis9qF6GFT0</t>
  </si>
  <si>
    <t>https://www.youtube.com/playlist?list=PLcWd1Ea7i_tyXEgwP7ZwNuqd6HbpGOHQG</t>
  </si>
  <si>
    <t>File Exists (file.ext.ver) - Boolean response</t>
  </si>
  <si>
    <t>tblName
 - tblName
 - REG:regVar
Default Table Cols:
[itemName, itemRoot, exists(T/F)]</t>
  </si>
  <si>
    <t>{mapkey seq}
 - REG:regVar</t>
  </si>
  <si>
    <t>https://www.youtube.com/playlist?list=PLcWd1Ea7i_twVw4nYDieY2vVIteAtXFAq</t>
  </si>
  <si>
    <t>TBL:tblName
 - TBL:tblSrc
 - REG:regVar
Table Cols:
[itemName*, mapkeySeq, pauseAfterSec]</t>
  </si>
  <si>
    <t>https://www.youtube.com/playlist?list=PLcWd1Ea7i_tz8naxCq-EXiZXjL7dkzre9</t>
  </si>
  <si>
    <t>tblName
 - tblName
 - REG:regVar
Default Table Cols:
[itemName, itemRoot,inWorking(T/F)]</t>
  </si>
  <si>
    <t>https://www.youtube.com/playlist?list=PLcWd1Ea7i_tzTcJHrDw76UoQeblFmituM</t>
  </si>
  <si>
    <t>Default: STRING
Arg Options: 
 - dataType(opt)
 - REG:regVar</t>
  </si>
  <si>
    <t>srcWorksheet(opt)
 - REG:regVar</t>
  </si>
  <si>
    <t>srcCellAddress / Value
 - REG:regVar</t>
  </si>
  <si>
    <t>matchCriteria(*)
 - REG:regVar</t>
  </si>
  <si>
    <t>Default: allTypes
Arg Options: 
 - objectType(opt)
 - REG:regVar</t>
  </si>
  <si>
    <t>zipFileName
 - REG:regVar</t>
  </si>
  <si>
    <t>failRegVarName
 - REG:regVar</t>
  </si>
  <si>
    <t>messageRegVarName
 - REG:regVar</t>
  </si>
  <si>
    <t>modelName.ext
 - REG:regVar</t>
  </si>
  <si>
    <t>Default: activeWorkspace
Arg Options: 
 - workspaceName or (NCELL_WORKSPACE)(opt)
 - REG:regVar</t>
  </si>
  <si>
    <t>Default: allFiles
Arg Options: 
 - sourceWorksheet / blank(opt)
 - REG:regVar</t>
  </si>
  <si>
    <t>Default: allFiles
Arg Options: 
 - fileList / sourceRange (use regional list sep)(opt)
 - REG:regVar</t>
  </si>
  <si>
    <t>contextName
 - REG:regVar</t>
  </si>
  <si>
    <t>Default: activeWorkspace
Arg Options: 
 - workspaceName(opt)
 - REG:regVar</t>
  </si>
  <si>
    <t>noteName
 - REG:regVar</t>
  </si>
  <si>
    <t>https://www.youtube.com/playlist?list=PLcWd1Ea7i_twjWglkHscnkBW3rp437GXk</t>
  </si>
  <si>
    <t>noteName(opt)(*)
 - REG:regVar</t>
  </si>
  <si>
    <t>noteValue(opt)(*)
 - REG:regVar</t>
  </si>
  <si>
    <t>tblName
 - tblName
 - REG:regVar
Default Table Cols:
[itemName, itemRoot, noteName, noteValue, noteValueExpanded, drwXLoc, drwYLoc]</t>
  </si>
  <si>
    <t>Default: allNotes
Arg Options: 
 - noteName(opt)(*)
 - REG:regVar</t>
  </si>
  <si>
    <t>Default: allValues
Arg Options: 
 - noteValue(opt)(*)
 - REG:regVar</t>
  </si>
  <si>
    <t>noteName(*)
 - REG:regVar</t>
  </si>
  <si>
    <t>https://www.youtube.com/playlist?list=PLcWd1Ea7i_twUrL0Fi8FAhblgHpSw3IGg</t>
  </si>
  <si>
    <t>tblName
 - tblName
 - REG:regVar
Default Table Cols:
[itemName, itemRoot, noteName, noteExists(T/F)]</t>
  </si>
  <si>
    <t>noteValue
 - REG:regVar
 - NULL</t>
  </si>
  <si>
    <t>Default: 0,0
Arg Options: 
 - xLoc, yLoc (dwg only) (use regional list sep)(opt)
 - REG:regVar</t>
  </si>
  <si>
    <t>https://www.youtube.com/playlist?list=PLcWd1Ea7i_twO_62wjmxtHfl-NtspVPuy</t>
  </si>
  <si>
    <t>TBL:tblName
 - TBL:tblSrc
 - REG:regVar
Table Cols:
[itemName*, noteName, noteValue, drwXLoc(opt), drwYLoc(opt)]</t>
  </si>
  <si>
    <t>https://www.youtube.com/playlist?list=PLcWd1Ea7i_twQzrjOEs3QIrzASTl1HsuY</t>
  </si>
  <si>
    <t>TBL:tblName
 - TBL:tblSrc
 - REG:regVar
Table Cols:
[itemName*, noteName*]</t>
  </si>
  <si>
    <t>xLoc, yLoc (use regional list sep)
 - REG:regVar</t>
  </si>
  <si>
    <t>Default: noteName
Arg Options: 
 - tgtNoteName(opt)
 - REG:regVar</t>
  </si>
  <si>
    <t>https://www.youtube.com/playlist?list=PLcWd1Ea7i_twPsxCd9MJz0FrkUbKOeLIg</t>
  </si>
  <si>
    <t>TBL:tblName
 - TBL:tblSrc
 - REG:regVar
Table Cols:
[itemName, noteName*, tgtItem(opt), tgtNoteName(opt)]</t>
  </si>
  <si>
    <t>sequenceIndex
 - REG:regVar</t>
  </si>
  <si>
    <t>groupName
 - REG:regVar</t>
  </si>
  <si>
    <t>newNameTemplate
 - REG:regVar</t>
  </si>
  <si>
    <t>Default: allTypes
Arg Options: 
 - featureType(opt)
 - REG:regVar</t>
  </si>
  <si>
    <t>featureType (if group pattern)(opt)
 - REG:regVar</t>
  </si>
  <si>
    <t>srcCellRange
 - REG:regVar</t>
  </si>
  <si>
    <t>FeatType(*)
 - REG:regVar</t>
  </si>
  <si>
    <t>Default: allFeatures
Arg Options: 
 - FeatName(opt)(*)
 - REG:regVar</t>
  </si>
  <si>
    <t>https://www.youtube.com/playlist?list=PLcWd1Ea7i_tznXH-WDe2s3psybJplLbPM</t>
  </si>
  <si>
    <t>tblName
 - tblName
 - REG:regVar
Default Table Cols:
[itemName, itemRoot, featName, featureId]</t>
  </si>
  <si>
    <t>https://www.youtube.com/playlist?list=PLcWd1Ea7i_tyl_E9WQmTKIAGMBRmDtVI4</t>
  </si>
  <si>
    <t>Default: allFeatures
Arg Options: 
 - featureName (ALL Default)(opt)(*)
 - REG:regVar</t>
  </si>
  <si>
    <t>Default: nonDatumTypes
Arg Options: 
 - featureType (typePattern/blank/ALL)
 - REG:regVar
 - NULL</t>
  </si>
  <si>
    <t>tblName
 - tblName
 - REG:regVar
Default Table Cols:
[itemName, itemRoot, featName, featQty]</t>
  </si>
  <si>
    <t>https://www.youtube.com/playlist?list=PLcWd1Ea7i_tzcK5A9Z74Fon1D2gjKJjIG</t>
  </si>
  <si>
    <t>TBL:tblName
 - TBL:tblSrc
 - REG:regVar
Table Cols:
[itemName*, featName*, paramName*]</t>
  </si>
  <si>
    <t>https://www.youtube.com/playlist?list=PLcWd1Ea7i_tyleVXSRithVeUpnLDoC1QS</t>
  </si>
  <si>
    <t>Default: nonDatumTypes
Arg Options: 
 - featureType (typePattern/blank/ALL)(opt)(*)
 - REG:regVar</t>
  </si>
  <si>
    <t>Default: N / FALSE
Arg Options: 
 - namedFeaturesOnly (bool)(opt)
 - REG:regVar</t>
  </si>
  <si>
    <t>https://www.youtube.com/playlist?list=PLcWd1Ea7i_twPUqgbSxfLcJU05TDVNWqE</t>
  </si>
  <si>
    <t>Default: nonDatumTypes
Arg Options: 
 - featureType (typePattern/blank/ALL)(opt)
 - REG:regVar</t>
  </si>
  <si>
    <t>Default: N / FALSE
Arg Options: 
 - namedFeaturesOnly (bool)
 - REG:regVar
 - NULL</t>
  </si>
  <si>
    <t>tblName
 - tblName
 - REG:regVar
Default Table Cols:
[itemName, itemRoot, featType, featureCount]</t>
  </si>
  <si>
    <t>https://www.youtube.com/playlist?list=PLcWd1Ea7i_ty6EwIDxnXylVQ8TUa7h8j_</t>
  </si>
  <si>
    <t>tblName
 - tblName
 - REG:regVar
Default Table Cols:
[itemName, itemRoot, profileNumber, profileLength, scaleFactor]</t>
  </si>
  <si>
    <t>https://www.youtube.com/playlist?list=PLcWd1Ea7i_twqbe6SY9XlDFZMgkm7IXyJ</t>
  </si>
  <si>
    <t>tblName
 - tblName
 - REG:regVar
Default Table Cols:
[itemName, itemRoot, numProfiles, totalProfileLength, scaleFactor]</t>
  </si>
  <si>
    <t>https://www.youtube.com/playlist?list=PLcWd1Ea7i_tzCvHUrSwWO8IxAlNNh-PCf</t>
  </si>
  <si>
    <t>tblName
 - tblName
 - REG:regVar
Default Table Cols:
[itemName, itemRoot, sumProfileLength, scaleFactor]</t>
  </si>
  <si>
    <t>https://www.youtube.com/playlist?list=PLcWd1Ea7i_tw5en9yShoyZJnQ8mdmAljR</t>
  </si>
  <si>
    <t>tblName
 - tblName
 - REG:regVar
Default Table Cols:
[itemName, itemRoot, numProfiles]</t>
  </si>
  <si>
    <t>https://www.youtube.com/playlist?list=PLcWd1Ea7i_twSkn_kyB2I8LwQcJPQPTPy</t>
  </si>
  <si>
    <t>tblName
 - tblName
 - REG:regVar
Default Table Cols:
[itemName, itemRoot, featName, paramName, paramValue, paramType]</t>
  </si>
  <si>
    <t>https://www.youtube.com/playlist?list=PLcWd1Ea7i_twyf-8_J3uWhAssbqU0dEMQ</t>
  </si>
  <si>
    <t>paramName(s) List
 - REG:regVar</t>
  </si>
  <si>
    <t>paramType
 - REG:regVar</t>
  </si>
  <si>
    <t>https://www.youtube.com/playlist?list=PLcWd1Ea7i_tzXY2NjqvePcf-XUwQg-179</t>
  </si>
  <si>
    <t>TBL:tblName
 - TBL:tblSrc
 - REG:regVar
Table Cols:
[itemName*, featName*, paramName, paramValue(opt), paramType(opt)(dflt: STRING)]</t>
  </si>
  <si>
    <t>https://www.youtube.com/playlist?list=PLcWd1Ea7i_tyC3rzOMpJCzXHOH_oJoQmg</t>
  </si>
  <si>
    <t>TBL:tblName
 - TBL:tblSrc
 - REG:regVar
Table Cols:
[itemName*, featName*, paramName, paramValue(opt)]</t>
  </si>
  <si>
    <t>https://www.youtube.com/playlist?list=PLcWd1Ea7i_tyufqSNv_fOPZaSpV4XqLyh</t>
  </si>
  <si>
    <t>TBL:tblName
 - TBL:tblSrc
 - REG:regVar
Table Cols:
[itemName*, featName*]</t>
  </si>
  <si>
    <t>https://www.youtube.com/playlist?list=PLcWd1Ea7i_tw7Vqh1BASN6OeT4u1NHlP_</t>
  </si>
  <si>
    <t>https://www.youtube.com/playlist?list=PLcWd1Ea7i_txFenoMS2Y9VLN1Lp_en1Of</t>
  </si>
  <si>
    <t>https://www.youtube.com/playlist?list=PLcWd1Ea7i_txNpWF5FWy2bpkWMupQqnDT</t>
  </si>
  <si>
    <t>https://www.youtube.com/playlist?list=PLcWd1Ea7i_tzN6ey16CvfGJ8C-hS9sPKw</t>
  </si>
  <si>
    <t>tblName
 - tblName
 - REG:regVar
Default Table Cols:
[itemName, itemRoot, featType, typeExists(T/F)]</t>
  </si>
  <si>
    <t>https://www.youtube.com/playlist?list=PLcWd1Ea7i_tx-RjnoYY-_Y0MLdMNtL3I2</t>
  </si>
  <si>
    <t>TBL:tblName
 - TBL:tblSrc
 - REG:regVar
Table Cols:
[itemName*, featType*]</t>
  </si>
  <si>
    <t>https://www.youtube.com/playlist?list=PLcWd1Ea7i_twOHHqJvSA3s_RW5RBsu_8h</t>
  </si>
  <si>
    <t>tblName
 - tblName
 - regVar
 - REG:regVar
Default Table Cols:
[itemName, itemRoot, featName, featType, featureState]</t>
  </si>
  <si>
    <t>columnLetter
 - REG:regVar</t>
  </si>
  <si>
    <t>valueList</t>
  </si>
  <si>
    <t>Default: N
Arg Options: 
 - forceBlanks Y/N (N)(opt)
 - REG:regVar</t>
  </si>
  <si>
    <t>xlsTableName
 - REG:regVar</t>
  </si>
  <si>
    <t>range
 - REG:regVar</t>
  </si>
  <si>
    <t>tgtRange
 - REG:regVar</t>
  </si>
  <si>
    <t>newWorksheetName
 - REG:regVar</t>
  </si>
  <si>
    <t>https://www.youtube.com/playlist?list=PLcWd1Ea7i_txPdLDqSJr8C_SBhpzA8L-W</t>
  </si>
  <si>
    <t>Default: "nc_default"
Arg Options: 
 - col1,col2,col3... (use regional list sep)(opt)
 - REG:regVar</t>
  </si>
  <si>
    <t>Default: A1
Arg Options: 
 - tgtCellAddress(opt)
 - regVar
 - REG:regVar</t>
  </si>
  <si>
    <t>https://www.youtube.com/playlist?list=PLcWd1Ea7i_txoXVJIY9uYnAaDPLDBPSQp</t>
  </si>
  <si>
    <t>https://www.youtube.com/playlist?list=PLcWd1Ea7i_tzoVteqxEDxPPSqaJ1eL2t5</t>
  </si>
  <si>
    <t>https://www.youtube.com/playlist?list=PLcWd1Ea7i_tyVmnaTVucbIDHjBzsVqIGm</t>
  </si>
  <si>
    <t>https://www.youtube.com/playlist?list=PLcWd1Ea7i_tzRo0HhOHUdbDC_vQNeVAnn</t>
  </si>
  <si>
    <t>Default: worksheeetDir
Arg Options: 
 - dirname(opt)
 - REG:regVar</t>
  </si>
  <si>
    <t>Default: tableName.csv
Arg Options: 
 - filename(opt)
 - REG:regVar</t>
  </si>
  <si>
    <t>Default: currentWorksheet
Arg Options: 
 - afterWorksheet(opt)
 - REG:regVar</t>
  </si>
  <si>
    <t>fieldName
 - REG:regVar</t>
  </si>
  <si>
    <t>Default: srcWorksheet
Arg Options: 
 - tgtWorksheet(opt)
 - REG:regVar</t>
  </si>
  <si>
    <t>stringValue
 - REG:regVar</t>
  </si>
  <si>
    <t>Default: allTables
Arg Options: 
 - tableName(opt)(*)
 - REG:regVar</t>
  </si>
  <si>
    <t>Default: tblName
Arg Options: 
 - tblQueryName(opt)
 - REG:regVar</t>
  </si>
  <si>
    <t>cell / range
 - REG:regVar</t>
  </si>
  <si>
    <t>srcCell / srcValue
 - REG:regVar</t>
  </si>
  <si>
    <t>Default: whole sheet
Arg Options: 
 - rowNumber / range(opt)
 - REG:regVar</t>
  </si>
  <si>
    <t>Default: whole sheet
Arg Options: 
 - columnLetter / range(opt)
 - REG:regVar</t>
  </si>
  <si>
    <t>dirname/filename
 - REG:regVar</t>
  </si>
  <si>
    <t>curVal
 - REG:regVar</t>
  </si>
  <si>
    <t>minVal
 - REG:regVar</t>
  </si>
  <si>
    <t>maxVal
 - REG:regVar</t>
  </si>
  <si>
    <t>fileRelName
 - REG:regVar</t>
  </si>
  <si>
    <t>Default: allFeatures
Arg Options: 
 - featName(opt)(*)
 - REG:regVar</t>
  </si>
  <si>
    <t>tbl_model : LIST_INST_DEEP</t>
  </si>
  <si>
    <t>Get a list of nested Instances from a specified file and create/update a Batch Sheet</t>
  </si>
  <si>
    <t>application : BATCH_LIST_INST_DEEP</t>
  </si>
  <si>
    <t>https://www.youtube.com/playlist?list=PLcWd1Ea7i_txbcnIoxTiHhAygHswALPEC</t>
  </si>
  <si>
    <t>https://www.youtube.com/playlist?list=PLcWd1Ea7i_txOHYOmLSPgFrpZgmNVlyvW</t>
  </si>
  <si>
    <t>https://www.youtube.com/playlist?list=PLcWd1Ea7i_twX4lKUfpfPpedlnfOR_u4B</t>
  </si>
  <si>
    <t>TBL:tblName
 - TBL:tblSrc
 - REG:regVar
Table Cols:
[itemName*, materialName, dirName(opt)]</t>
  </si>
  <si>
    <t>https://www.youtube.com/playlist?list=PLcWd1Ea7i_tziW7GOvfL-pZUAWbXLfBJd</t>
  </si>
  <si>
    <t>https://www.youtube.com/playlist?list=PLcWd1Ea7i_twNDtU82syxWo1tlhqYAkd5</t>
  </si>
  <si>
    <t>https://www.youtube.com/playlist?list=PLcWd1Ea7i_twc3EbWry6uuP3HJKxEgprk</t>
  </si>
  <si>
    <t>https://www.youtube.com/playlist?list=PLcWd1Ea7i_twz7FcomwXA1T01pjyplobu</t>
  </si>
  <si>
    <t>tbl_model : GET_RELATIONS</t>
  </si>
  <si>
    <t>tbl_model : SET_RELATIONS</t>
  </si>
  <si>
    <t>Set Model or Drawing Relations</t>
  </si>
  <si>
    <t>https://www.youtube.com/playlist?list=PLcWd1Ea7i_txHtwz34_if_wntqYvvB_q9</t>
  </si>
  <si>
    <t>https://www.youtube.com/playlist?list=PLcWd1Ea7i_tzyg8zmqdJ8hVxRLkNCnaN5</t>
  </si>
  <si>
    <t>https://www.youtube.com/playlist?list=PLcWd1Ea7i_txemmQs09U7e850oCvsetz3</t>
  </si>
  <si>
    <t>https://www.youtube.com/playlist?list=PLcWd1Ea7i_tx_1oaKxDPKEc8gHRYgI1un</t>
  </si>
  <si>
    <t>https://www.youtube.com/playlist?list=PLcWd1Ea7i_tznX5VE7Gc6tIjUTRIEuS6p</t>
  </si>
  <si>
    <t>https://www.youtube.com/playlist?list=PLcWd1Ea7i_txzmweWqvJJPtQAlUxO0tja</t>
  </si>
  <si>
    <t>TBL:tblName
 - TBL:tblSrc
 - REG:regVar
Table Cols:
[itemName, relationText, relationType(opt)]</t>
  </si>
  <si>
    <t>https://www.youtube.com/playlist?list=PLcWd1Ea7i_tzksaz8m_tsR2vBoELtCI4v</t>
  </si>
  <si>
    <t>https://www.youtube.com/playlist?list=PLcWd1Ea7i_txCYlOgDZ50KTTzsCuCu8CE</t>
  </si>
  <si>
    <t>https://www.youtube.com/playlist?list=PLcWd1Ea7i_txEDrPSKBHNjOk-cunMjCUh</t>
  </si>
  <si>
    <t>https://www.youtube.com/playlist?list=PLcWd1Ea7i_tyssRHRzsy7Crr_uhG3g-W6</t>
  </si>
  <si>
    <t>https://www.youtube.com/playlist?list=PLcWd1Ea7i_tzyV2mj-aTH0tJ4eAgDHsIe</t>
  </si>
  <si>
    <t>https://www.youtube.com/playlist?list=PLcWd1Ea7i_tzvCTS7HYn0bsDShY5ABIV1</t>
  </si>
  <si>
    <t>https://www.youtube.com/playlist?list=PLcWd1Ea7i_tx1HCgCWSHhpfiFqh8BGFor</t>
  </si>
  <si>
    <t>https://www.youtube.com/playlist?list=PLcWd1Ea7i_tzg4FVWQdWaAHZwkSCcbAdC</t>
  </si>
  <si>
    <t>https://www.youtube.com/playlist?list=PLcWd1Ea7i_txklTagy2rHoPjNZ89CU48m</t>
  </si>
  <si>
    <t>https://www.youtube.com/playlist?list=PLcWd1Ea7i_tzt6zcovellZZFpVz2nXRMM</t>
  </si>
  <si>
    <t>https://www.youtube.com/playlist?list=PLcWd1Ea7i_twZxTY7IUKea4Qp1Vt0BX7r</t>
  </si>
  <si>
    <t>https://www.youtube.com/playlist?list=PLcWd1Ea7i_tyxW6qa1snjJxitVeZ43IJU</t>
  </si>
  <si>
    <t>https://www.youtube.com/playlist?list=PLcWd1Ea7i_txxXkYN_yVVI9nuiBgRb3_s</t>
  </si>
  <si>
    <t>https://www.youtube.com/playlist?list=PLcWd1Ea7i_tyqkbG82VXGErN3MtKWDtKT</t>
  </si>
  <si>
    <t>https://www.youtube.com/playlist?list=PLcWd1Ea7i_txre2lLJrh5Kw1CdNMiIVi-</t>
  </si>
  <si>
    <t>https://www.youtube.com/playlist?list=PLcWd1Ea7i_txtpWD22GaJRdVJr5zTrqrA</t>
  </si>
  <si>
    <t>https://www.youtube.com/playlist?list=PLcWd1Ea7i_twFNYZir13FNroLWAyttjEg</t>
  </si>
  <si>
    <t>https://www.youtube.com/playlist?list=PLcWd1Ea7i_tyr6NkTCoOuKBJYJAvmhKlO</t>
  </si>
  <si>
    <t>https://www.youtube.com/playlist?list=PLcWd1Ea7i_tx86x-Ut7BXNUMwFaQkJ44t</t>
  </si>
  <si>
    <t>Force the Regeneration of a Model or Drawing</t>
  </si>
  <si>
    <t>https://www.youtube.com/playlist?list=PLcWd1Ea7i_tzjkJ2q_hzbWc1ZcZzUq2pN</t>
  </si>
  <si>
    <t>https://www.youtube.com/playlist?list=PLcWd1Ea7i_tz57ECAuPzB_DNFm_fyyKgx</t>
  </si>
  <si>
    <t>Check to see if a file is in Creo (active or in memory) - Return String(s)</t>
  </si>
  <si>
    <t>https://www.youtube.com/playlist?list=PLcWd1Ea7i_ty6U7iafZRf1iEkM_klhAOi</t>
  </si>
  <si>
    <t>https://www.youtube.com/playlist?list=PLcWd1Ea7i_txiPF-z1AA2bRtv88vT8pum</t>
  </si>
  <si>
    <t>https://www.youtube.com/playlist?list=PLcWd1Ea7i_tzxkhGqfAaM4OP3nZk2Dj6c</t>
  </si>
  <si>
    <t>https://www.youtube.com/playlist?list=PLcWd1Ea7i_txZIxZHjZOU1O2XB4DGo3jH</t>
  </si>
  <si>
    <t>https://www.youtube.com/playlist?list=PLcWd1Ea7i_tzFme67B0dIuvypurBhogIb</t>
  </si>
  <si>
    <t>Run a Mapkey Sequence (will reopen active model after execution)</t>
  </si>
  <si>
    <t>Default: 0
Arg Options: 
 - pauseAfterSec(opt)
 - REG:regVar</t>
  </si>
  <si>
    <t>https://www.youtube.com/playlist?list=PLcWd1Ea7i_tyMrE8k8Ln6zSz1D3Z2RmCK</t>
  </si>
  <si>
    <t>https://www.youtube.com/playlist?list=PLcWd1Ea7i_tyr-TP8nCf9QemajEdTTY7Y</t>
  </si>
  <si>
    <t>https://www.youtube.com/playlist?list=PLcWd1Ea7i_twd4Bu4hHxybKWT2RV4X623</t>
  </si>
  <si>
    <t>tbl_feature : GET_TYPE_IDS</t>
  </si>
  <si>
    <t>Get the IDs of Features by Feature Type and write to Excel</t>
  </si>
  <si>
    <t>tblName
 - tblName
 - REG:regVar
Default Table Cols:
[itemName, itemRoot, featName, featType, featureId]</t>
  </si>
  <si>
    <t>tblName
 - tblName
 - REG:regVar
Default Table Cols:
[itemName, itemRoot, featName, featType, paramName, paramValue, paramType]</t>
  </si>
  <si>
    <t>Expects:
dirname(opt)
 - REG:regVar</t>
  </si>
  <si>
    <t>Expects:
geomType (blank/default/solids/surfaces/quilts/wireframe/wireframe_surfaces)(opt)
 - REG:regVar</t>
  </si>
  <si>
    <t>Expects:
paramName(s) List (use regional list sep)
 - REG:regVar</t>
  </si>
  <si>
    <t>Expects:
tblName
 - tblName
 - REG:regVar
Default Table Cols:
[topLevelName, topLevelRoot, itemName, itemRoot, itemQty, param1, param2, ...]</t>
  </si>
  <si>
    <t>Expects:
model.ext(*)
 - REG:regVar</t>
  </si>
  <si>
    <t>Expects:
newUnits
 - REG:regVar</t>
  </si>
  <si>
    <t>Expects:
convertDims (Y/N) (dflt:Y)(opt)
 - REG:regVar</t>
  </si>
  <si>
    <t>Expects:
viewName(opt)(*)
 - REG:regVar</t>
  </si>
  <si>
    <t>Expects:
scaleValue (1.0)(opt)
 - REG:regVar</t>
  </si>
  <si>
    <t>Expects:
scalingFactor (1.0)(opt)
 - REG:regVar</t>
  </si>
  <si>
    <t>Expects:
tblName
 - tblName
 - REG:regVar
Default Table Cols:
[itemName, itemRoot, surfArea, scaleFactor]</t>
  </si>
  <si>
    <t>Expects:
viewName(*)
 - REG:regVar</t>
  </si>
  <si>
    <t>Expects:
tgtWorksheet / REGISTER
 - REG:regVar</t>
  </si>
  <si>
    <t>Expects:
tgtCellAddress
 - regVar
 - REG:regVar</t>
  </si>
  <si>
    <t>Expects:
tgtWorksheet
 - REG:regVar</t>
  </si>
  <si>
    <t>Expects:
tgtCellAddress
 - REG:regVar</t>
  </si>
  <si>
    <t>Expects:
paramName(*)
 - REG:regVar</t>
  </si>
  <si>
    <t>Expects:
tgtModel.ext(*)
 - REG:regVar</t>
  </si>
  <si>
    <t>Expects:
tgtParamName(opt)
 - REG:regVar</t>
  </si>
  <si>
    <t>Expects:
tgtExecWorksheet(opt)
 - REG:regVar</t>
  </si>
  <si>
    <t>Expects:
fileName(*)
 - REG:regVar</t>
  </si>
  <si>
    <t>https://www.youtube.com/playlist?list=PLcWd1Ea7i_tyc-je2sKVOx2r6Zk-Wjfmp</t>
  </si>
  <si>
    <t>Expects:
FeatName
 - REG:regVar</t>
  </si>
  <si>
    <t>Expects:
tblName
 - tblName
 - REG:regVar
Default Table Cols:
[itemName, itemRoot, featName, paramName, paramExists(T/F)]</t>
  </si>
  <si>
    <t>Expects:
tgtDataWorksheet
 - REG:regVar</t>
  </si>
  <si>
    <t>Expects:
paramName(opt)(*)
 - REG:regVar</t>
  </si>
  <si>
    <t>Expects:
paramValue(opt)(*)
 - REG:regVar</t>
  </si>
  <si>
    <t>Expects:
compName(opt)(*)
 - REG:regVar</t>
  </si>
  <si>
    <t>tbl_model : GET_INTERFERENCES</t>
  </si>
  <si>
    <t>Report Interferences between Parts in the active Assembly</t>
  </si>
  <si>
    <t>Report Body Feature IDs (Creo 7 and above only)</t>
  </si>
  <si>
    <t>tblName
- tblName
- REG:regVar
Default Table Cols:
[itemName, itemRoot, bodyName, featureId]</t>
  </si>
  <si>
    <t>Default: allBodies
Arg Options: 
 - bodyName(opt)(*)
 - REG:regVar</t>
  </si>
  <si>
    <t>tbl_feature : GET_BODY_FEAT_IDS</t>
  </si>
  <si>
    <t>Default: all names
Arg Options: 
 - paramName(opt)(*)
 - REG:regVar</t>
  </si>
  <si>
    <t>&lt;string&gt;
 - REG:regVar</t>
  </si>
  <si>
    <t>Copyright 2000 - 2023 - Simplified Logic, Inc. - All rights reserved.</t>
  </si>
  <si>
    <t>getInstances</t>
  </si>
  <si>
    <t>Execution Worksheet</t>
  </si>
  <si>
    <t>tblInstances</t>
  </si>
  <si>
    <t>Data</t>
  </si>
  <si>
    <t>// Extract Family Table Instances to Excel Table</t>
  </si>
  <si>
    <t>itemName</t>
  </si>
  <si>
    <t>itemRoot</t>
  </si>
  <si>
    <t>genericName</t>
  </si>
  <si>
    <t>instName</t>
  </si>
  <si>
    <t>// Batch Through Instances to Extract from Family Table</t>
  </si>
  <si>
    <t>extractInstToPart</t>
  </si>
  <si>
    <t>// Create/Clear the Batch Tracking Table</t>
  </si>
  <si>
    <t>// Create/Clear Excel Table for Instance Names</t>
  </si>
  <si>
    <t>tblBatchLog</t>
  </si>
  <si>
    <t>TBL:tblInstances</t>
  </si>
  <si>
    <t>status</t>
  </si>
  <si>
    <t>success</t>
  </si>
  <si>
    <t>sourceModel</t>
  </si>
  <si>
    <t>REG:sourceModel</t>
  </si>
  <si>
    <t>/ ASSUMES ACTIVE PART IN CREO and Has a Family Table</t>
  </si>
  <si>
    <t>// Erase Creo Session</t>
  </si>
  <si>
    <t>// Open Family Table Instance</t>
  </si>
  <si>
    <t>// Delete the Intance Parent Family Table</t>
  </si>
  <si>
    <t>BROKEN_OUT_PARTS</t>
  </si>
  <si>
    <t>// Save Standalone Part to Sub-Directory</t>
  </si>
  <si>
    <t>// Create Target Directory for Parts Broken Out</t>
  </si>
  <si>
    <t>// Check that Active Model has a Family Table</t>
  </si>
  <si>
    <t>modelHasFT</t>
  </si>
  <si>
    <t>if modelHasFT = FALSE</t>
  </si>
  <si>
    <t>endif</t>
  </si>
  <si>
    <t>Active Model Does NOT have a Family Table</t>
  </si>
  <si>
    <t>E10</t>
  </si>
  <si>
    <t>// Cleanup and Re-load Original Model</t>
  </si>
  <si>
    <t>// Set ACTIVE Model Name to Application REGISTRY</t>
  </si>
  <si>
    <t>SCREW_6MM&lt;SCREW_FT&gt;.PRT</t>
  </si>
  <si>
    <t>SCREW_6MM</t>
  </si>
  <si>
    <t>SCREW_FT</t>
  </si>
  <si>
    <t>SCREW_10MM&lt;SCREW_FT&gt;.PRT</t>
  </si>
  <si>
    <t>SCREW_10MM</t>
  </si>
  <si>
    <t>SCREW_12MM&lt;SCREW_FT&gt;.PRT</t>
  </si>
  <si>
    <t>SCREW_12MM</t>
  </si>
  <si>
    <t>SCREW_15MM&lt;SCREW_FT&gt;.PRT</t>
  </si>
  <si>
    <t>SCREW_15MM</t>
  </si>
  <si>
    <t>SCREW_20MM&lt;SCREW_FT&gt;.PRT</t>
  </si>
  <si>
    <t>SCREW_20MM</t>
  </si>
  <si>
    <t>SCREW_25MM&lt;SCREW_FT&gt;.PRT</t>
  </si>
  <si>
    <t>SCREW_25MM</t>
  </si>
  <si>
    <t>SCREW_PH_6MM&lt;SCREW_FT&gt;.PRT</t>
  </si>
  <si>
    <t>SCREW_PH_6MM</t>
  </si>
  <si>
    <t>SCREW_PH_10MM&lt;SCREW_FT&gt;.PRT</t>
  </si>
  <si>
    <t>SCREW_PH_10MM</t>
  </si>
  <si>
    <t>SCREW_PH_12MM&lt;SCREW_FT&gt;.PRT</t>
  </si>
  <si>
    <t>SCREW_PH_12MM</t>
  </si>
  <si>
    <t>SCREW_PH_15MM&lt;SCREW_FT&gt;.PRT</t>
  </si>
  <si>
    <t>SCREW_PH_15MM</t>
  </si>
  <si>
    <t>SCREW_PH_20MM&lt;SCREW_FT&gt;.PRT</t>
  </si>
  <si>
    <t>SCREW_PH_20MM</t>
  </si>
  <si>
    <t>SCREW_PH_25MM&lt;SCREW_FT&gt;.PRT</t>
  </si>
  <si>
    <t>SCREW_PH_25MM</t>
  </si>
  <si>
    <t>Copyright 2000 - 2026 - Simplified Logic, Inc. -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</si>
</sst>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1"/>
      <color indexed="10"/>
      <name val="Calibri"/>
      <family val="2"/>
    </font>
    <font>
      <sz val="24"/>
      <name val="Arial Nova"/>
      <family val="2"/>
    </font>
    <font>
      <sz val="9"/>
      <color indexed="8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indexed="12"/>
      <name val="Calibri"/>
      <family val="2"/>
    </font>
    <font>
      <b/>
      <sz val="11"/>
      <color indexed="9"/>
      <name val="Calibri"/>
      <family val="2"/>
    </font>
    <font>
      <sz val="11"/>
      <color indexed="30"/>
      <name val="Calibri"/>
      <family val="2"/>
    </font>
    <font>
      <b/>
      <sz val="14"/>
      <color indexed="30"/>
      <name val="Calibri"/>
      <family val="2"/>
    </font>
    <font>
      <sz val="20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3C78D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4" tint="0.3999755851924192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/>
  </cellStyleXfs>
  <cellXfs count="51">
    <xf numFmtId="0" fontId="0" fillId="0" borderId="0" xfId="0"/>
    <xf numFmtId="0" fontId="3" fillId="3" borderId="0" xfId="0" applyFont="1" applyFill="1" applyAlignment="1">
      <alignment horizontal="center"/>
    </xf>
    <xf numFmtId="0" fontId="5" fillId="3" borderId="0" xfId="0" applyFont="1" applyFill="1"/>
    <xf numFmtId="0" fontId="3" fillId="3" borderId="0" xfId="0" applyFont="1" applyFill="1"/>
    <xf numFmtId="0" fontId="3" fillId="3" borderId="3" xfId="0" applyFont="1" applyFill="1" applyBorder="1" applyAlignment="1">
      <alignment horizontal="center"/>
    </xf>
    <xf numFmtId="0" fontId="6" fillId="3" borderId="3" xfId="0" applyFont="1" applyFill="1" applyBorder="1"/>
    <xf numFmtId="0" fontId="0" fillId="3" borderId="3" xfId="0" applyFill="1" applyBorder="1"/>
    <xf numFmtId="0" fontId="7" fillId="4" borderId="0" xfId="0" applyFont="1" applyFill="1" applyAlignment="1">
      <alignment horizontal="center"/>
    </xf>
    <xf numFmtId="0" fontId="0" fillId="4" borderId="0" xfId="0" applyFill="1"/>
    <xf numFmtId="0" fontId="3" fillId="4" borderId="0" xfId="0" applyFont="1" applyFill="1" applyAlignment="1">
      <alignment horizontal="center"/>
    </xf>
    <xf numFmtId="0" fontId="1" fillId="4" borderId="0" xfId="0" applyFont="1" applyFill="1"/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0" xfId="0" applyFont="1" applyFill="1"/>
    <xf numFmtId="49" fontId="0" fillId="0" borderId="0" xfId="0" applyNumberFormat="1"/>
    <xf numFmtId="0" fontId="4" fillId="0" borderId="0" xfId="0" applyFont="1" applyAlignment="1">
      <alignment horizontal="center"/>
    </xf>
    <xf numFmtId="0" fontId="12" fillId="3" borderId="3" xfId="3" applyFill="1" applyBorder="1" applyAlignment="1" applyProtection="1">
      <alignment horizontal="center"/>
    </xf>
    <xf numFmtId="0" fontId="12" fillId="3" borderId="0" xfId="3" applyFill="1" applyAlignment="1" applyProtection="1">
      <alignment horizontal="center"/>
    </xf>
    <xf numFmtId="0" fontId="0" fillId="6" borderId="0" xfId="0" applyFill="1"/>
    <xf numFmtId="0" fontId="4" fillId="0" borderId="0" xfId="0" applyFont="1"/>
    <xf numFmtId="0" fontId="4" fillId="0" borderId="0" xfId="0" quotePrefix="1" applyFont="1"/>
    <xf numFmtId="0" fontId="9" fillId="3" borderId="1" xfId="0" applyFont="1" applyFill="1" applyBorder="1"/>
    <xf numFmtId="0" fontId="8" fillId="3" borderId="1" xfId="0" applyFont="1" applyFill="1" applyBorder="1"/>
    <xf numFmtId="0" fontId="0" fillId="7" borderId="0" xfId="0" applyFill="1"/>
    <xf numFmtId="0" fontId="13" fillId="5" borderId="0" xfId="0" applyFont="1" applyFill="1" applyAlignment="1">
      <alignment horizontal="center"/>
    </xf>
    <xf numFmtId="0" fontId="13" fillId="9" borderId="5" xfId="0" applyFont="1" applyFill="1" applyBorder="1" applyAlignment="1">
      <alignment horizontal="center"/>
    </xf>
    <xf numFmtId="0" fontId="0" fillId="10" borderId="0" xfId="0" applyFill="1"/>
    <xf numFmtId="0" fontId="0" fillId="6" borderId="3" xfId="0" applyFill="1" applyBorder="1"/>
    <xf numFmtId="0" fontId="0" fillId="3" borderId="0" xfId="0" applyFill="1"/>
    <xf numFmtId="0" fontId="4" fillId="0" borderId="0" xfId="0" applyFont="1" applyAlignment="1">
      <alignment horizontal="left" indent="1"/>
    </xf>
    <xf numFmtId="0" fontId="14" fillId="0" borderId="0" xfId="0" applyFont="1" applyAlignment="1">
      <alignment horizontal="left" indent="1"/>
    </xf>
    <xf numFmtId="0" fontId="15" fillId="0" borderId="0" xfId="0" applyFont="1"/>
    <xf numFmtId="0" fontId="0" fillId="0" borderId="0" xfId="0" applyAlignment="1">
      <alignment horizontal="left" indent="1"/>
    </xf>
    <xf numFmtId="0" fontId="0" fillId="0" borderId="0" xfId="0" quotePrefix="1" applyAlignment="1">
      <alignment horizontal="left" indent="2"/>
    </xf>
    <xf numFmtId="0" fontId="0" fillId="0" borderId="0" xfId="0" quotePrefix="1" applyAlignment="1">
      <alignment horizontal="left" indent="1"/>
    </xf>
    <xf numFmtId="0" fontId="15" fillId="0" borderId="0" xfId="0" quotePrefix="1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6" fillId="0" borderId="0" xfId="0" applyFont="1"/>
    <xf numFmtId="0" fontId="0" fillId="0" borderId="6" xfId="0" applyBorder="1"/>
    <xf numFmtId="0" fontId="18" fillId="3" borderId="1" xfId="4" applyFill="1" applyBorder="1" applyAlignment="1">
      <alignment horizontal="center"/>
    </xf>
    <xf numFmtId="0" fontId="19" fillId="11" borderId="7" xfId="0" applyFont="1" applyFill="1" applyBorder="1" applyAlignment="1">
      <alignment wrapText="1"/>
    </xf>
    <xf numFmtId="0" fontId="20" fillId="0" borderId="7" xfId="0" applyFont="1" applyBorder="1" applyAlignment="1">
      <alignment wrapText="1"/>
    </xf>
    <xf numFmtId="0" fontId="18" fillId="0" borderId="7" xfId="4" applyBorder="1" applyAlignment="1">
      <alignment wrapText="1"/>
    </xf>
    <xf numFmtId="0" fontId="21" fillId="0" borderId="0" xfId="0" applyFont="1"/>
    <xf numFmtId="0" fontId="9" fillId="2" borderId="5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5">
    <cellStyle name="Hyperlink" xfId="4" builtinId="8"/>
    <cellStyle name="Hyperlink 2" xfId="3" xr:uid="{FFE1A79F-B420-46B5-8F79-4BADA5EE6AEE}"/>
    <cellStyle name="Normal" xfId="0" builtinId="0"/>
    <cellStyle name="Normal 2" xfId="2" xr:uid="{21A0F285-F992-4080-B3BC-F23BE9983547}"/>
    <cellStyle name="Normal 3" xfId="1" xr:uid="{E39C5442-4074-4833-860B-E545FB4CA513}"/>
  </cellStyles>
  <dxfs count="27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theme="1"/>
        </patternFill>
      </fill>
    </dxf>
    <dxf>
      <font>
        <condense val="0"/>
        <extend val="0"/>
        <color auto="1"/>
      </font>
      <fill>
        <patternFill>
          <bgColor indexed="50"/>
        </patternFill>
      </fill>
    </dxf>
    <dxf>
      <font>
        <color indexed="9"/>
      </font>
      <fill>
        <patternFill>
          <bgColor indexed="49"/>
        </patternFill>
      </fill>
    </dxf>
    <dxf>
      <fill>
        <patternFill>
          <bgColor indexed="55"/>
        </patternFill>
      </fill>
    </dxf>
    <dxf>
      <fill>
        <patternFill>
          <bgColor theme="6" tint="-0.24994659260841701"/>
        </patternFill>
      </fill>
    </dxf>
    <dxf>
      <font>
        <color indexed="17"/>
      </font>
      <fill>
        <patternFill>
          <bgColor indexed="4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color indexed="9"/>
      </font>
      <fill>
        <patternFill>
          <bgColor indexed="21"/>
        </patternFill>
      </fill>
    </dxf>
    <dxf>
      <font>
        <color rgb="FF00B050"/>
      </font>
    </dxf>
    <dxf>
      <fill>
        <patternFill>
          <bgColor theme="1"/>
        </patternFill>
      </fill>
    </dxf>
    <dxf>
      <font>
        <condense val="0"/>
        <extend val="0"/>
        <color auto="1"/>
      </font>
      <fill>
        <patternFill>
          <bgColor indexed="50"/>
        </patternFill>
      </fill>
    </dxf>
    <dxf>
      <font>
        <color indexed="9"/>
      </font>
      <fill>
        <patternFill>
          <bgColor indexed="49"/>
        </patternFill>
      </fill>
    </dxf>
    <dxf>
      <fill>
        <patternFill>
          <bgColor indexed="55"/>
        </patternFill>
      </fill>
    </dxf>
    <dxf>
      <fill>
        <patternFill>
          <bgColor theme="6" tint="-0.24994659260841701"/>
        </patternFill>
      </fill>
    </dxf>
    <dxf>
      <font>
        <color indexed="17"/>
      </font>
      <fill>
        <patternFill>
          <bgColor indexed="4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color indexed="9"/>
      </font>
      <fill>
        <patternFill>
          <bgColor indexed="21"/>
        </patternFill>
      </fill>
    </dxf>
    <dxf>
      <font>
        <color rgb="FF00B050"/>
      </font>
    </dxf>
    <dxf>
      <fill>
        <patternFill>
          <bgColor theme="1"/>
        </patternFill>
      </fill>
    </dxf>
    <dxf>
      <font>
        <condense val="0"/>
        <extend val="0"/>
        <color auto="1"/>
      </font>
      <fill>
        <patternFill>
          <bgColor indexed="50"/>
        </patternFill>
      </fill>
    </dxf>
    <dxf>
      <font>
        <color indexed="9"/>
      </font>
      <fill>
        <patternFill>
          <bgColor indexed="49"/>
        </patternFill>
      </fill>
    </dxf>
    <dxf>
      <fill>
        <patternFill>
          <bgColor indexed="55"/>
        </patternFill>
      </fill>
    </dxf>
    <dxf>
      <fill>
        <patternFill>
          <bgColor theme="6" tint="-0.24994659260841701"/>
        </patternFill>
      </fill>
    </dxf>
    <dxf>
      <font>
        <color indexed="17"/>
      </font>
      <fill>
        <patternFill>
          <bgColor indexed="4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color indexed="9"/>
      </font>
      <fill>
        <patternFill>
          <bgColor indexed="21"/>
        </patternFill>
      </fill>
    </dxf>
    <dxf>
      <font>
        <color rgb="FF00B050"/>
      </font>
    </dxf>
    <dxf>
      <font>
        <color rgb="FF00B05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53F3BC-EE7B-4ED1-B94A-6F4AA6EB2FAB}" autoFormatId="16" applyNumberFormats="0" applyBorderFormats="0" applyFontFormats="0" applyPatternFormats="0" applyAlignmentFormats="0" applyWidthHeightFormats="0">
  <queryTableRefresh nextId="2491">
    <queryTableFields count="395">
      <queryTableField id="195" name="application : ERASE_MEMORY" tableColumnId="195"/>
      <queryTableField id="83" name="model : OPEN" tableColumnId="83"/>
      <queryTableField id="910" name="tbl_model : OPEN" tableColumnId="293"/>
      <queryTableField id="85" name="model : REGENERATE" tableColumnId="85"/>
      <queryTableField id="1078" name="tbl_model : REGENERATE" tableColumnId="312"/>
      <queryTableField id="110" name="parameter : GET" tableColumnId="110"/>
      <queryTableField id="879" name="tbl_parameter : GET" tableColumnId="300"/>
      <queryTableField id="114" name="parameter : SET" tableColumnId="114"/>
      <queryTableField id="881" name="tbl_parameter : SET" tableColumnId="303"/>
      <queryTableField id="115" name="parameter : SET_CREATE" tableColumnId="115"/>
      <queryTableField id="882" name="tbl_parameter : SET_CREATE" tableColumnId="304"/>
      <queryTableField id="93" name="model : SAVE" tableColumnId="93"/>
      <queryTableField id="1307" name="tbl_model : SAVE" tableColumnId="320"/>
      <queryTableField id="94" name="model : SAVE_AS" tableColumnId="94"/>
      <queryTableField id="1308" name="tbl_model : SAVE_AS" tableColumnId="321"/>
      <queryTableField id="60" name="model : GET_ACTIVE" tableColumnId="60"/>
      <queryTableField id="62" name="model : GET_FILE_EXT" tableColumnId="62"/>
      <queryTableField id="63" name="model : GET_FILE_ROOT" tableColumnId="63"/>
      <queryTableField id="1" name="model : ASSEMBLE" tableColumnId="1"/>
      <queryTableField id="1088" name="tbl_model : ASSEMBLE" tableColumnId="317"/>
      <queryTableField id="2" name="model : ASSEMBLE_ALL" tableColumnId="2"/>
      <queryTableField id="3" name="model : ASSEMBLE_ALL_ROOT" tableColumnId="3"/>
      <queryTableField id="1305" name="tbl_model : ASSEMBLE_ALL_ROOT" tableColumnId="319"/>
      <queryTableField id="4" name="model : ASSEMBLE_SUPPRESS" tableColumnId="4"/>
      <queryTableField id="1090" name="tbl_model : ASSEMBLE_SUPPRESS" tableColumnId="310"/>
      <queryTableField id="6" name="model : DELETE" tableColumnId="6"/>
      <queryTableField id="1938" name="tbl_model : DELETE" tableColumnId="382"/>
      <queryTableField id="9" name="model : DELETE_SUPPRESSED" tableColumnId="9"/>
      <queryTableField id="1942" name="tbl_model : DELETE_SUPPRESSED" tableColumnId="384"/>
      <queryTableField id="55" name="model : EXPORT_STEP" tableColumnId="55"/>
      <queryTableField id="1608" name="tbl_model : EXPORT_STEP" tableColumnId="358"/>
      <queryTableField id="56" name="model : EXPORT_STEP_PROFILE" tableColumnId="56"/>
      <queryTableField id="1609" name="tbl_model : EXPORT_STEP_PROFILE" tableColumnId="359"/>
      <queryTableField id="54" name="model : EXPORT_PDF" tableColumnId="54"/>
      <queryTableField id="1614" name="tbl_model : EXPORT_PDF" tableColumnId="361"/>
      <queryTableField id="50" name="model : EXPORT_DRW_PDF" tableColumnId="50"/>
      <queryTableField id="1617" name="tbl_model : EXPORT_DRW_PDF" tableColumnId="362"/>
      <queryTableField id="921" name="model : EXPORT_PVZ" tableColumnId="280"/>
      <queryTableField id="49" name="model : EXPORT_3D_PDF" tableColumnId="49"/>
      <queryTableField id="1613" name="tbl_model : EXPORT_3D_PDF" tableColumnId="360"/>
      <queryTableField id="51" name="model : EXPORT_DXF" tableColumnId="51"/>
      <queryTableField id="1603" name="tbl_model : EXPORT_DXF" tableColumnId="355"/>
      <queryTableField id="52" name="model : EXPORT_IGES" tableColumnId="52"/>
      <queryTableField id="1605" name="tbl_model : EXPORT_IGES" tableColumnId="356"/>
      <queryTableField id="53" name="model : EXPORT_IGES_PROFILE" tableColumnId="53"/>
      <queryTableField id="1607" name="tbl_model : EXPORT_IGES_PROFILE" tableColumnId="357"/>
      <queryTableField id="57" name="model : FAMILY_TBL_EXISTS" tableColumnId="57"/>
      <queryTableField id="1583" name="tbl_model : FAMILY_TBL_EXISTS" tableColumnId="345"/>
      <queryTableField id="58" name="model : FAMILY_TBL_INST_EXISTS" tableColumnId="58"/>
      <queryTableField id="1584" name="tbl_model : FAMILY_TBL_INST_EXISTS" tableColumnId="346"/>
      <queryTableField id="59" name="model : FAMILY_TBL_OPEN_INST" tableColumnId="59"/>
      <queryTableField id="1622" name="tbl_model : FAMILY_TBL_OPEN_INST" tableColumnId="318"/>
      <queryTableField id="7" name="model : DELETE_FAMILY_TBL" tableColumnId="7"/>
      <queryTableField id="1939" name="tbl_model : DELETE_FAMILY_TBL" tableColumnId="383"/>
      <queryTableField id="8" name="model : DELETE_RELATIONS" tableColumnId="8"/>
      <queryTableField id="1338" name="tbl_model : DELETE_RELATIONS" tableColumnId="335"/>
      <queryTableField id="12" name="model : DRW_CREATE" tableColumnId="12"/>
      <queryTableField id="1944" name="tbl_model : DRW_CREATE" tableColumnId="385"/>
      <queryTableField id="15" name="model : DRW_EXPORT_FAIR" tableColumnId="15"/>
      <queryTableField id="1625" name="tbl_model : DRW_EXPORT_FAIR" tableColumnId="364"/>
      <queryTableField id="27" name="model : DRW_REGENERATE" tableColumnId="27"/>
      <queryTableField id="5" name="model : CLOSE_WINDOW" tableColumnId="5"/>
      <queryTableField id="515" name="model : DELETE_RANGE" tableColumnId="283"/>
      <queryTableField id="920" name="model : DISPLAY" tableColumnId="149"/>
      <queryTableField id="11" name="model : DRW_ADD_SHEET" tableColumnId="11"/>
      <queryTableField id="13" name="model : DRW_DEL_SHEET_LAST" tableColumnId="13"/>
      <queryTableField id="14" name="model : DRW_DEL_SHEET_NUM" tableColumnId="14"/>
      <queryTableField id="16" name="model : DRW_GET_SHEET_COUNT" tableColumnId="16"/>
      <queryTableField id="17" name="model : DRW_GET_SHEET_NUM" tableColumnId="17"/>
      <queryTableField id="18" name="model : DRW_GET_SHEET_SCALE" tableColumnId="18"/>
      <queryTableField id="19" name="model : DRW_GET_SHEET_SIZE" tableColumnId="19"/>
      <queryTableField id="20" name="model : DRW_HAS_DIMENSIONS" tableColumnId="20"/>
      <queryTableField id="21" name="model : DRW_MODEL_ADD" tableColumnId="21"/>
      <queryTableField id="22" name="model : DRW_MODEL_COUNT" tableColumnId="22"/>
      <queryTableField id="23" name="model : DRW_MODEL_DELETE" tableColumnId="23"/>
      <queryTableField id="24" name="model : DRW_MODEL_EXISTS" tableColumnId="24"/>
      <queryTableField id="25" name="model : DRW_MODEL_GET" tableColumnId="25"/>
      <queryTableField id="26" name="model : DRW_MODEL_SET" tableColumnId="26"/>
      <queryTableField id="28" name="model : DRW_SEL_SHEET_FIRST" tableColumnId="28"/>
      <queryTableField id="29" name="model : DRW_SEL_SHEET_LAST" tableColumnId="29"/>
      <queryTableField id="30" name="model : DRW_SEL_SHEET_NUM" tableColumnId="30"/>
      <queryTableField id="31" name="model : DRW_SET_SHEET_SCALE" tableColumnId="31"/>
      <queryTableField id="32" name="model : DRW_SYMBOL_ADD" tableColumnId="32"/>
      <queryTableField id="33" name="model : DRW_SYMBOL_DELETE" tableColumnId="33"/>
      <queryTableField id="34" name="model : DRW_SYMBOL_EXISTS" tableColumnId="34"/>
      <queryTableField id="35" name="model : DRW_VIEW_BBOX_XY" tableColumnId="35"/>
      <queryTableField id="36" name="model : DRW_VIEW_COUNT" tableColumnId="36"/>
      <queryTableField id="37" name="model : DRW_VIEW_CREATE_EXP_GEN" tableColumnId="37"/>
      <queryTableField id="38" name="model : DRW_VIEW_CREATE_GEN" tableColumnId="38"/>
      <queryTableField id="2485" name="tbl_model : GET_INTERFERENCES" tableColumnId="397"/>
      <queryTableField id="2489" name="tbl_feature : GET_BODY_FEAT_IDS" tableColumnId="394"/>
      <queryTableField id="88" name="model : REPORT_ITEM_COUNTS" tableColumnId="88"/>
      <queryTableField id="1315" name="tbl_model : REPORT_ITEM_COUNTS" tableColumnId="324"/>
      <queryTableField id="89" name="model : REPORT_ITEM_CNT_PARMS" tableColumnId="89"/>
      <queryTableField id="874" name="tbl_model : REPORT_ITEM_CNT_PARMS" tableColumnId="294"/>
      <queryTableField id="90" name="model : RESUME" tableColumnId="90"/>
      <queryTableField id="1082" name="tbl_model : RESUME" tableColumnId="314"/>
      <queryTableField id="91" name="model : RESUME_CHILDREN" tableColumnId="91"/>
      <queryTableField id="1086" name="tbl_model : RESUME_CHILDREN" tableColumnId="316"/>
      <queryTableField id="92" name="model : RESUME_RANGE" tableColumnId="92"/>
      <queryTableField id="95" name="model : SAVE_AS_TO_RELEASED" tableColumnId="95"/>
      <queryTableField id="1311" name="tbl_model : SAVE_AS_TO_RELEASED" tableColumnId="322"/>
      <queryTableField id="96" name="model : SAVE_TO_RELEASED" tableColumnId="96"/>
      <queryTableField id="1312" name="tbl_model : SAVE_TO_RELEASED" tableColumnId="323"/>
      <queryTableField id="97" name="model : SET_LENGTH_UNITS" tableColumnId="97"/>
      <queryTableField id="1934" name="tbl_model : SET_LENGTH_UNITS" tableColumnId="380"/>
      <queryTableField id="98" name="model : SET_MASS_UNITS" tableColumnId="98"/>
      <queryTableField id="1935" name="tbl_model : SET_MASS_UNITS" tableColumnId="381"/>
      <queryTableField id="100" name="model : SUPPRESS" tableColumnId="100"/>
      <queryTableField id="1083" name="tbl_model : SUPPRESS" tableColumnId="315"/>
      <queryTableField id="101" name="model : SUPPRESS_RANGE" tableColumnId="101"/>
      <queryTableField id="517" name="model : MATL_ACTIVE_BOOL" tableColumnId="284"/>
      <queryTableField id="1328" name="tbl_model : MATL_GET" tableColumnId="330"/>
      <queryTableField id="519" name="model : MATL_GET_APPEND" tableColumnId="285"/>
      <queryTableField id="411" name="model : MATL_GET_CUR" tableColumnId="276"/>
      <queryTableField id="1329" name="tbl_model : MATL_GET_CUR" tableColumnId="331"/>
      <queryTableField id="413" name="model : MATL_LOAD_SET" tableColumnId="278"/>
      <queryTableField id="1333" name="tbl_model : MATL_LOAD_SET" tableColumnId="333"/>
      <queryTableField id="412" name="model : MATL_LOAD" tableColumnId="277"/>
      <queryTableField id="1332" name="tbl_model : MATL_LOAD" tableColumnId="332"/>
      <queryTableField id="528" name="model : MATL_EXISTS" tableColumnId="275"/>
      <queryTableField id="1326" name="tbl_model : MATL_EXISTS" tableColumnId="329"/>
      <queryTableField id="409" name="model : MATL_DELETE" tableColumnId="274"/>
      <queryTableField id="1932" name="tbl_model : MATL_DELETE" tableColumnId="379"/>
      <queryTableField id="39" name="model : DRW_VIEW_CREATE_PROJ" tableColumnId="39"/>
      <queryTableField id="40" name="model : DRW_VIEW_DELETE" tableColumnId="40"/>
      <queryTableField id="41" name="model : DRW_VIEW_EXISTS" tableColumnId="41"/>
      <queryTableField id="42" name="model : DRW_VIEW_LOC_GET" tableColumnId="42"/>
      <queryTableField id="43" name="model : DRW_VIEW_LOC_SET" tableColumnId="43"/>
      <queryTableField id="44" name="model : DRW_VIEW_MOVE" tableColumnId="44"/>
      <queryTableField id="45" name="model : DRW_VIEW_RENAME" tableColumnId="45"/>
      <queryTableField id="46" name="model : DRW_VIEW_SCALE_GET" tableColumnId="46"/>
      <queryTableField id="47" name="model : DRW_VIEW_SCALE_SET" tableColumnId="47"/>
      <queryTableField id="48" name="model : DRW_VIEW_SHEET_GET" tableColumnId="48"/>
      <queryTableField id="61" name="model : GET_APPEND_RELS" tableColumnId="61"/>
      <queryTableField id="64" name="model : GET_LENGTH_UNITS" tableColumnId="64"/>
      <queryTableField id="906" name="tbl_model : GET_LENGTH_UNITS" tableColumnId="288"/>
      <queryTableField id="65" name="model : GET_MASS_UNITS" tableColumnId="65"/>
      <queryTableField id="907" name="tbl_model : GET_MASS_UNITS" tableColumnId="289"/>
      <queryTableField id="66" name="model : GET_MP_BBOX" tableColumnId="66"/>
      <queryTableField id="908" name="tbl_model : GET_MP_BBOX" tableColumnId="291"/>
      <queryTableField id="67" name="model : GET_MP_BBOX_VOL" tableColumnId="67"/>
      <queryTableField id="1587" name="tbl_model : GET_MP_BBOX_VOL" tableColumnId="347"/>
      <queryTableField id="68" name="model : GET_MP_BBOX_XYZ" tableColumnId="68"/>
      <queryTableField id="1589" name="tbl_model : GET_MP_BBOX_XYZ" tableColumnId="348"/>
      <queryTableField id="69" name="model : GET_MP_SURF_AREA" tableColumnId="69"/>
      <queryTableField id="1591" name="tbl_model : GET_MP_SURF_AREA" tableColumnId="349"/>
      <queryTableField id="70" name="model : GET_MP_VOL" tableColumnId="70"/>
      <queryTableField id="1592" name="tbl_model : GET_MP_VOL" tableColumnId="350"/>
      <queryTableField id="2329" name="tbl_model : GET_RELATIONS" tableColumnId="328"/>
      <queryTableField id="71" name="model : GET_STATE" tableColumnId="71"/>
      <queryTableField id="1629" name="tbl_model : GET_STATE" tableColumnId="365"/>
      <queryTableField id="72" name="model : IN_SESSION" tableColumnId="72"/>
      <queryTableField id="73" name="model : IN_SESSION_BOOL" tableColumnId="73"/>
      <queryTableField id="74" name="model : LAYER_CREATE" tableColumnId="74"/>
      <queryTableField id="75" name="model : LAYER_DELETE" tableColumnId="75"/>
      <queryTableField id="76" name="model : LAYER_EXISTS" tableColumnId="76"/>
      <queryTableField id="77" name="model : LAYER_GET_STATE" tableColumnId="77"/>
      <queryTableField id="78" name="model : LAYER_HIDE" tableColumnId="78"/>
      <queryTableField id="79" name="model : LAYER_SHOW" tableColumnId="79"/>
      <queryTableField id="909" name="tbl_model : LIST_INSTANCES" tableColumnId="292"/>
      <queryTableField id="80" name="model : MASSPROPS" tableColumnId="80"/>
      <queryTableField id="414" name="model : MATL_SET_CUR" tableColumnId="279"/>
      <queryTableField id="1336" name="tbl_model : MATL_SET_CUR" tableColumnId="334"/>
      <queryTableField id="81" name="model : MODEL_VIEW_EXISTS" tableColumnId="81"/>
      <queryTableField id="281" name="model : MODEL_VIEW_SAVE" tableColumnId="281"/>
      <queryTableField id="82" name="model : MODEL_VIEW_SELECT" tableColumnId="82"/>
      <queryTableField id="513" name="model : OPEN_PVZ" tableColumnId="282"/>
      <queryTableField id="84" name="model : OPEN_RELEASED" tableColumnId="84"/>
      <queryTableField id="86" name="model : RELATIONS_EXIST" tableColumnId="86"/>
      <queryTableField id="87" name="model : RENAME_INSESSION" tableColumnId="87"/>
      <queryTableField id="1079" name="tbl_model : RENAME_INSESSION" tableColumnId="313"/>
      <queryTableField id="2325" name="tbl_model : LIST_INST_DEEP" tableColumnId="391"/>
      <queryTableField id="2330" name="tbl_model : SET_RELATIONS" tableColumnId="393"/>
      <queryTableField id="116" name="parameter : SET_STATE" tableColumnId="116"/>
      <queryTableField id="883" name="tbl_parameter : SET_STATE" tableColumnId="305"/>
      <queryTableField id="111" name="parameter : GET_APPEND" tableColumnId="111"/>
      <queryTableField id="112" name="parameter : IS_DESIGNATED" tableColumnId="112"/>
      <queryTableField id="880" name="tbl_parameter : IS_DESIGNATED" tableColumnId="302"/>
      <queryTableField id="113" name="parameter : PARAM_GET_TO_ROWS" tableColumnId="113"/>
      <queryTableField id="109" name="parameter : EXISTS" tableColumnId="109"/>
      <queryTableField id="878" name="tbl_parameter : EXISTS" tableColumnId="299"/>
      <queryTableField id="108" name="parameter : DELETE" tableColumnId="108"/>
      <queryTableField id="877" name="tbl_parameter : DELETE" tableColumnId="298"/>
      <queryTableField id="107" name="parameter : COPY" tableColumnId="107"/>
      <queryTableField id="876" name="tbl_parameter : COPY" tableColumnId="296"/>
      <queryTableField id="2326" name="application : BATCH_LIST_INST_DEEP" tableColumnId="392"/>
      <queryTableField id="169" name="application : BATCH_APPEND_DRW_MDLS" tableColumnId="169"/>
      <queryTableField id="170" name="application : BATCH_APPEND_GET_FILES" tableColumnId="170"/>
      <queryTableField id="171" name="application : BATCH_APPEND_LIST_FILES" tableColumnId="171"/>
      <queryTableField id="172" name="application : BATCH_GET_DRW_MDLS" tableColumnId="172"/>
      <queryTableField id="173" name="application : BATCH_GET_FILES" tableColumnId="173"/>
      <queryTableField id="174" name="application : BATCH_LIST_EXPLODED_VIEWS" tableColumnId="174"/>
      <queryTableField id="175" name="application : BATCH_LIST_FILES" tableColumnId="175"/>
      <queryTableField id="176" name="application : BATCH_LIST_INSTANCES" tableColumnId="176"/>
      <queryTableField id="177" name="application : BATCH_LIST_SIMP_REPS" tableColumnId="177"/>
      <queryTableField id="178" name="application : BATCH_RESET" tableColumnId="178"/>
      <queryTableField id="179" name="application : BATCH_SKIP" tableColumnId="179"/>
      <queryTableField id="180" name="application : BATCH_START" tableColumnId="180"/>
      <queryTableField id="2303" name="tbl_application : BATCH_START" tableColumnId="388"/>
      <queryTableField id="181" name="application : CFG_GET_OPTION" tableColumnId="181"/>
      <queryTableField id="182" name="application : CFG_SET_OPTION" tableColumnId="182"/>
      <queryTableField id="183" name="application : DIR_CHANGE" tableColumnId="183"/>
      <queryTableField id="184" name="application : DIR_CONTAINS_BOOL" tableColumnId="184"/>
      <queryTableField id="185" name="application : DIR_CREATE" tableColumnId="185"/>
      <queryTableField id="186" name="application : DIR_DELETE" tableColumnId="186"/>
      <queryTableField id="187" name="application : DIR_EXISTS" tableColumnId="187"/>
      <queryTableField id="188" name="application : DIR_EXISTS_BOOL" tableColumnId="188"/>
      <queryTableField id="189" name="application : DIR_GET" tableColumnId="189"/>
      <queryTableField id="190" name="application : DIR_GET_NUMFILES" tableColumnId="190"/>
      <queryTableField id="191" name="application : DIR_PURGE" tableColumnId="191"/>
      <queryTableField id="192" name="application : DIR_ZIP" tableColumnId="192"/>
      <queryTableField id="193" name="application : ERASE_FILE" tableColumnId="193"/>
      <queryTableField id="1597" name="tbl_application : ERASE_FILE" tableColumnId="352"/>
      <queryTableField id="194" name="application : ERASE_FILE_AND_CHILDREN" tableColumnId="194"/>
      <queryTableField id="201" name="application : FILE_MOVE" tableColumnId="201"/>
      <queryTableField id="1601" name="tbl_application : FILE_MOVE" tableColumnId="354"/>
      <queryTableField id="1317" name="tbl_application : GET_FILES" tableColumnId="325"/>
      <queryTableField id="1598" name="tbl_application : ERASE_FILE_AND_CHILDREN" tableColumnId="353"/>
      <queryTableField id="196" name="application : ERASE_NOTDISPLAYED" tableColumnId="196"/>
      <queryTableField id="200" name="application : FILE_EXISTS_BOOL" tableColumnId="200"/>
      <queryTableField id="1577" name="tbl_application : FILE_EXISTS_BOOL" tableColumnId="342"/>
      <queryTableField id="206" name="application : MAPKEY" tableColumnId="206"/>
      <queryTableField id="218" name="application : WAIT" tableColumnId="218"/>
      <queryTableField id="1076" name="tbl_application : MAPKEY" tableColumnId="311"/>
      <queryTableField id="202" name="application : IN_WORKING" tableColumnId="202"/>
      <queryTableField id="1579" name="tbl_application : IN_WORKING" tableColumnId="343"/>
      <queryTableField id="203" name="application : IN_WORKING_BOOL" tableColumnId="203"/>
      <queryTableField id="1319" name="tbl_application : LIST_FILES" tableColumnId="326"/>
      <queryTableField id="204" name="application : LOG_ERROR" tableColumnId="204"/>
      <queryTableField id="205" name="application : LOG_MESSAGE" tableColumnId="205"/>
      <queryTableField id="208" name="application : REGISTER_CLEAR" tableColumnId="208"/>
      <queryTableField id="590" name="application : REGISTER_EXISTS" tableColumnId="10"/>
      <queryTableField id="210" name="application : REGISTER_GET" tableColumnId="210"/>
      <queryTableField id="211" name="application : REGISTER_LOG" tableColumnId="211"/>
      <queryTableField id="212" name="application : REGISTER_SET" tableColumnId="212"/>
      <queryTableField id="213" name="application : REGISTER_SUBSTR" tableColumnId="213"/>
      <queryTableField id="573" name="application : REGISTER_VAL_LIKE" tableColumnId="209"/>
      <queryTableField id="216" name="application : STOP_AUTOMATION" tableColumnId="216"/>
      <queryTableField id="215" name="application : STOP_ALERT" tableColumnId="215"/>
      <queryTableField id="217" name="application : STOP_EXECUTION" tableColumnId="217"/>
      <queryTableField id="197" name="application : ERROR_CATCH_OFF" tableColumnId="197"/>
      <queryTableField id="232" name="application : ZIP_FILES" tableColumnId="232"/>
      <queryTableField id="198" name="application : ERROR_CATCH_ON" tableColumnId="198"/>
      <queryTableField id="591" name="application : WC_CHECKED_OUT" tableColumnId="129"/>
      <queryTableField id="220" name="application : WC_SERVER_EXISTS" tableColumnId="220"/>
      <queryTableField id="221" name="application : WC_SERVER_SET" tableColumnId="221"/>
      <queryTableField id="222" name="application : WC_SET_USER" tableColumnId="222"/>
      <queryTableField id="223" name="application : WC_WS_BCH_APND_LIST_FILES" tableColumnId="223"/>
      <queryTableField id="224" name="application : WC_WS_BCH_LIST_FILES" tableColumnId="224"/>
      <queryTableField id="225" name="application : WC_WS_CLEAR" tableColumnId="225"/>
      <queryTableField id="226" name="application : WC_WS_CREATE" tableColumnId="226"/>
      <queryTableField id="227" name="application : WC_WS_DELETE" tableColumnId="227"/>
      <queryTableField id="228" name="application : WC_WS_EXISTS" tableColumnId="228"/>
      <queryTableField id="229" name="application : WC_WS_FILE_EXISTS_BOOL" tableColumnId="229"/>
      <queryTableField id="230" name="application : WC_WS_GET_ACTIVE" tableColumnId="230"/>
      <queryTableField id="1320" name="tbl_application : WC_WS_LIST_FILES" tableColumnId="327"/>
      <queryTableField id="231" name="application : WC_WS_SET" tableColumnId="231"/>
      <queryTableField id="199" name="application : EXIT_APPLICATION" tableColumnId="199"/>
      <queryTableField id="122" name="note : GET" tableColumnId="122"/>
      <queryTableField id="875" name="tbl_note : GET" tableColumnId="295"/>
      <queryTableField id="123" name="note : GET_APPEND" tableColumnId="123"/>
      <queryTableField id="121" name="note : EXISTS" tableColumnId="121"/>
      <queryTableField id="1595" name="tbl_note : EXISTS" tableColumnId="351"/>
      <queryTableField id="124" name="note : SET_CREATE" tableColumnId="124"/>
      <queryTableField id="1926" name="tbl_note : SET_CREATE" tableColumnId="376"/>
      <queryTableField id="118" name="note : DELETE" tableColumnId="118"/>
      <queryTableField id="1930" name="tbl_note : DELETE" tableColumnId="378"/>
      <queryTableField id="119" name="note : DRW_GET_LOC" tableColumnId="119"/>
      <queryTableField id="120" name="note : DRW_SET_LOC" tableColumnId="120"/>
      <queryTableField id="117" name="note : COPY" tableColumnId="117"/>
      <queryTableField id="1928" name="tbl_note : COPY" tableColumnId="377"/>
      <queryTableField id="2449" name="tbl_feature : GET_TYPE_IDS" tableColumnId="99"/>
      <queryTableField id="254" name="feature : GET_ID" tableColumnId="254"/>
      <queryTableField id="1912" name="tbl_feature : GET_ID" tableColumnId="369"/>
      <queryTableField id="1346" name="tbl_feature : GET_NCOUNTS" tableColumnId="339"/>
      <queryTableField id="255" name="feature : NAME_AT_INDEX" tableColumnId="255"/>
      <queryTableField id="256" name="feature : NAME_EXISTS" tableColumnId="256"/>
      <queryTableField id="257" name="feature : PARAM_DELETE" tableColumnId="257"/>
      <queryTableField id="1920" name="tbl_feature : PARAM_DELETE" tableColumnId="373"/>
      <queryTableField id="258" name="feature : PARAM_EXISTS" tableColumnId="258"/>
      <queryTableField id="1575" name="tbl_feature : PARAM_EXISTS" tableColumnId="341"/>
      <queryTableField id="260" name="feature : PARAM_GET_APPEND" tableColumnId="260"/>
      <queryTableField id="261" name="feature : PARAM_GET_TO_ROWS" tableColumnId="261"/>
      <queryTableField id="265" name="feature : RENAME" tableColumnId="265"/>
      <queryTableField id="266" name="feature : RENAME_GROUP_FEAT" tableColumnId="266"/>
      <queryTableField id="267" name="feature : RENAME_INDEX" tableColumnId="267"/>
      <queryTableField id="268" name="feature : RENAME_LAST" tableColumnId="268"/>
      <queryTableField id="269" name="feature : RENAME_PATTERN" tableColumnId="269"/>
      <queryTableField id="270" name="feature : RENAME_PATTERN_RANGE" tableColumnId="270"/>
      <queryTableField id="271" name="feature : RENAME_TYPE" tableColumnId="271"/>
      <queryTableField id="248" name="feature : GET_APPEND_COUNTS" tableColumnId="248"/>
      <queryTableField id="249" name="feature : GET_APPEND_FLATDATA" tableColumnId="249"/>
      <queryTableField id="250" name="feature : GET_APPEND_FLATSUM" tableColumnId="250"/>
      <queryTableField id="251" name="feature : GET_APPEND_NCOUNTS" tableColumnId="251"/>
      <queryTableField id="1340" name="tbl_feature : GET_COUNTS" tableColumnId="336"/>
      <queryTableField id="1342" name="tbl_feature : GET_FLATDATA" tableColumnId="337"/>
      <queryTableField id="1344" name="tbl_feature : GET_FLATSUM" tableColumnId="338"/>
      <queryTableField id="252" name="feature : GET_FLATSUM_LENGTH" tableColumnId="252"/>
      <queryTableField id="903" name="tbl_feature : GET_FLATSUM_LENGTH" tableColumnId="207"/>
      <queryTableField id="259" name="feature : PARAM_GET" tableColumnId="259"/>
      <queryTableField id="253" name="feature : GET_FLATSUM_PROFILES" tableColumnId="253"/>
      <queryTableField id="904" name="tbl_feature : GET_FLATSUM_PROFILES" tableColumnId="214"/>
      <queryTableField id="1348" name="tbl_feature : PARAM_GET" tableColumnId="340"/>
      <queryTableField id="262" name="feature : PARAM_GET_TO_ROWS_TYPES" tableColumnId="262"/>
      <queryTableField id="905" name="tbl_feature : PARAM_GET_TYPES" tableColumnId="219"/>
      <queryTableField id="264" name="feature : PARAM_SET_CREATE" tableColumnId="264"/>
      <queryTableField id="1924" name="tbl_feature : PARAM_SET_CREATE" tableColumnId="375"/>
      <queryTableField id="263" name="feature : PARAM_SET" tableColumnId="263"/>
      <queryTableField id="1922" name="tbl_feature : PARAM_SET" tableColumnId="374"/>
      <queryTableField id="104" name="feature : RESUME" tableColumnId="104"/>
      <queryTableField id="1916" name="tbl_feature : RESUME" tableColumnId="371"/>
      <queryTableField id="102" name="feature : DELETE" tableColumnId="102"/>
      <queryTableField id="1910" name="tbl_feature : DELETE" tableColumnId="368"/>
      <queryTableField id="106" name="feature : SUPPRESS" tableColumnId="106"/>
      <queryTableField id="1634" name="tbl_feature : SUPPRESS" tableColumnId="367"/>
      <queryTableField id="105" name="feature : RESUME_CHILDREN" tableColumnId="105"/>
      <queryTableField id="1918" name="tbl_feature : RESUME_CHILDREN" tableColumnId="372"/>
      <queryTableField id="273" name="feature : TYPE_EXISTS" tableColumnId="273"/>
      <queryTableField id="1581" name="tbl_feature : TYPE_EXISTS" tableColumnId="344"/>
      <queryTableField id="272" name="feature : SUPPRESS_TYPE" tableColumnId="272"/>
      <queryTableField id="1914" name="tbl_feature : SUPPRESS_TYPE" tableColumnId="370"/>
      <queryTableField id="103" name="feature : GET_STATE" tableColumnId="103"/>
      <queryTableField id="1628" name="tbl_feature : GET_STATE" tableColumnId="363"/>
      <queryTableField id="1630" name="worksheet : AUTOFIT" tableColumnId="366"/>
      <queryTableField id="125" name="worksheet : APPEND_ROW" tableColumnId="125"/>
      <queryTableField id="1948" name="worksheet : CLEAR_XLS_TABLE" tableColumnId="387"/>
      <queryTableField id="130" name="worksheet : COPY_RANGE" tableColumnId="130"/>
      <queryTableField id="131" name="worksheet : COPY_RANGE_VAL" tableColumnId="131"/>
      <queryTableField id="134" name="worksheet : DUPLICATE" tableColumnId="134"/>
      <queryTableField id="533" name="worksheet : TABLE_CREATE" tableColumnId="286"/>
      <queryTableField id="161" name="worksheet : REFRESH_ALL" tableColumnId="161"/>
      <queryTableField id="566" name="worksheet : TABLE_EXISTS_BOOL" tableColumnId="301"/>
      <queryTableField id="539" name="worksheet : TABLE_CLEAR" tableColumnId="290"/>
      <queryTableField id="534" name="worksheet : TABLE_DELETE" tableColumnId="287"/>
      <queryTableField id="922" name="worksheet : EXPORT_TABLE_AS_CSV" tableColumnId="297"/>
      <queryTableField id="2305" name="worksheet : MACRO_RUN_WORKBOOK" tableColumnId="389"/>
      <queryTableField id="2306" name="worksheet : MACRO_RUN_APPLICATION" tableColumnId="390"/>
      <queryTableField id="126" name="worksheet : CLEAR_BATCHSHEET" tableColumnId="126"/>
      <queryTableField id="127" name="worksheet : CLEAR_DATASHEET" tableColumnId="127"/>
      <queryTableField id="128" name="worksheet : CLEAR_RANGE" tableColumnId="128"/>
      <queryTableField id="923" name="worksheet : PIVOT_ADD_CNTFIELD" tableColumnId="308"/>
      <queryTableField id="150" name="worksheet : PIVOT_ADD_PVTFIELD" tableColumnId="150"/>
      <queryTableField id="151" name="worksheet : PIVOT_ADD_SUMFIELD" tableColumnId="151"/>
      <queryTableField id="152" name="worksheet : PIVOT_CREATE" tableColumnId="152"/>
      <queryTableField id="153" name="worksheet : PIVOT_DELETE" tableColumnId="153"/>
      <queryTableField id="1946" name="worksheet : CREATE" tableColumnId="386"/>
      <queryTableField id="154" name="worksheet : PIVOT_DELETE_PVTFIELD" tableColumnId="154"/>
      <queryTableField id="155" name="worksheet : PIVOT_EXISTS" tableColumnId="155"/>
      <queryTableField id="156" name="worksheet : PIVOT_FIELD_EXISTS" tableColumnId="156"/>
      <queryTableField id="157" name="worksheet : PIVOT_FIELD_VISIBLE" tableColumnId="157"/>
      <queryTableField id="158" name="worksheet : PIVOT_FORMAT_VALFIELD" tableColumnId="158"/>
      <queryTableField id="159" name="worksheet : PIVOT_SET_TARGET" tableColumnId="159"/>
      <queryTableField id="160" name="worksheet : PIVOT_UPDATE" tableColumnId="160"/>
      <queryTableField id="135" name="worksheet : EXECTAB" tableColumnId="135"/>
      <queryTableField id="884" name="worksheet : PQ_CONN_CREATE" tableColumnId="306"/>
      <queryTableField id="885" name="worksheet : PQ_CONN_DELETE" tableColumnId="307"/>
      <queryTableField id="924" name="worksheet : PQ_CONN_EXISTS_BOOL" tableColumnId="309"/>
      <queryTableField id="162" name="worksheet : SELECT" tableColumnId="162"/>
      <queryTableField id="163" name="worksheet : SELECT_CELL" tableColumnId="163"/>
      <queryTableField id="164" name="worksheet : SEND_NO_REGEN" tableColumnId="164"/>
      <queryTableField id="165" name="worksheet : SEND_RESULTS" tableColumnId="165"/>
      <queryTableField id="166" name="worksheet : SET_VALUE" tableColumnId="166"/>
      <queryTableField id="167" name="worksheet : SHEETNAME_EXISTS" tableColumnId="167"/>
      <queryTableField id="137" name="worksheet : GET_COL_COUNT" tableColumnId="137"/>
      <queryTableField id="138" name="worksheet : GET_COL_COUNTA" tableColumnId="138"/>
      <queryTableField id="139" name="worksheet : GET_COL_MAX" tableColumnId="139"/>
      <queryTableField id="140" name="worksheet : GET_COL_MIN" tableColumnId="140"/>
      <queryTableField id="141" name="worksheet : GET_COL_NEXT" tableColumnId="141"/>
      <queryTableField id="142" name="worksheet : GET_CURRENT" tableColumnId="142"/>
      <queryTableField id="143" name="worksheet : GET_ROW_COUNT" tableColumnId="143"/>
      <queryTableField id="144" name="worksheet : GET_ROW_COUNTA" tableColumnId="144"/>
      <queryTableField id="145" name="worksheet : GET_ROW_MAX" tableColumnId="145"/>
      <queryTableField id="146" name="worksheet : GET_ROW_MIN" tableColumnId="146"/>
      <queryTableField id="147" name="worksheet : GET_ROW_NEXT" tableColumnId="147"/>
      <queryTableField id="168" name="worksheet : WRITE_FORMULAS" tableColumnId="168"/>
      <queryTableField id="136" name="worksheet : EXPORT_PROTABLE" tableColumnId="136"/>
      <queryTableField id="132" name="worksheet : DELETE" tableColumnId="132"/>
      <queryTableField id="133" name="worksheet : DELETE_RANGE" tableColumnId="133"/>
      <queryTableField id="148" name="worksheet : LOOP_WORKSHEET_UNTIL" tableColumnId="148"/>
      <queryTableField id="235" name="release : CLEAR_NITRO_RELEASE_NAMES" tableColumnId="235"/>
      <queryTableField id="245" name="release : SET_NITRO_RELEASE_DIR" tableColumnId="245"/>
      <queryTableField id="236" name="release : CLEAR_NITRO_SET_VARS" tableColumnId="236"/>
      <queryTableField id="240" name="release : NITRO_RELEASE" tableColumnId="240"/>
      <queryTableField id="234" name="release : CHANGE_TO" tableColumnId="234"/>
      <queryTableField id="241" name="release : PURGE_RELEASED" tableColumnId="241"/>
      <queryTableField id="246" name="release : SET_NITRO_RELEASE_NAME" tableColumnId="246"/>
      <queryTableField id="238" name="release : IN_RELEASE" tableColumnId="238"/>
      <queryTableField id="239" name="release : IN_RELEASE_BOOL" tableColumnId="239"/>
      <queryTableField id="237" name="release : DELETE_RELEASED_FILE" tableColumnId="237"/>
      <queryTableField id="247" name="release : SET_NITRO_SAVE" tableColumnId="247"/>
      <queryTableField id="244" name="release : SET_NITRO_KEEP_RELS" tableColumnId="244"/>
      <queryTableField id="243" name="release : SET_NITRO_KEEP_FEAT" tableColumnId="243"/>
      <queryTableField id="242" name="release : SET_NITRO_KEEP_COMP" tableColumnId="242"/>
      <queryTableField id="233" name="release : BACKUP_EXCEL" tableColumnId="233"/>
    </queryTableFields>
    <queryTableDeletedFields count="2">
      <deletedField name="tbl_model : GET_INTERFERENCES"/>
      <deletedField name="tbl_model : GET_INTERFERENCES"/>
    </queryTableDeleted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3EE652-2973-49C6-9E27-A49E3829C23A}" name="tblInstances" displayName="tblInstances" ref="A1:D13" totalsRowShown="0">
  <tableColumns count="4">
    <tableColumn id="1" xr3:uid="{91D15EBA-B979-4AD0-9997-7B222A2782CA}" name="itemName"/>
    <tableColumn id="2" xr3:uid="{B7663A74-3896-45EF-962E-36E236F8AA7C}" name="itemRoot" dataDxfId="3"/>
    <tableColumn id="3" xr3:uid="{769CF583-8E29-4359-B610-817D4CD67F0C}" name="genericName" dataDxfId="2"/>
    <tableColumn id="4" xr3:uid="{8B932BA6-70D2-4CCC-AED8-4249DB603821}" name="instNam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C42D35-E052-4BAE-9CE1-00B424289CBE}" name="tblBatchLog" displayName="tblBatchLog" ref="F1:H13" totalsRowShown="0">
  <tableColumns count="3">
    <tableColumn id="1" xr3:uid="{84B82BAF-D2A7-4885-B8FE-23DC95610190}" name="itemName"/>
    <tableColumn id="2" xr3:uid="{38B09099-3BFD-437B-A82C-ED6E2F88F758}" name="itemRoot" dataDxfId="0"/>
    <tableColumn id="3" xr3:uid="{2B6B54BF-F9D4-4B89-9A1E-FDC315A7E393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BBDDD3-4925-413A-8BB5-537DB693C4E4}" name="xx_matrix" displayName="xx_matrix" ref="B7:H402" totalsRowShown="0">
  <autoFilter ref="B7:H402" xr:uid="{09C69CAE-4D33-4565-9B3F-562AAE27BE6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B8:C369">
    <sortCondition ref="B7"/>
  </sortState>
  <tableColumns count="7">
    <tableColumn id="1" xr3:uid="{518D6FAA-A4BD-481C-BB55-00AC7381CD8E}" name="command"/>
    <tableColumn id="3" xr3:uid="{E1CD5F93-E086-4F1F-8EA5-7A572E06C9F6}" name="videoLink"/>
    <tableColumn id="5" xr3:uid="{0C435D8C-E6C5-4F29-95C4-6CD4A3FF67BE}" name="Instructions"/>
    <tableColumn id="6" xr3:uid="{560D6C08-75B8-45E6-BF09-A8AE794C36B9}" name="SrcModel"/>
    <tableColumn id="7" xr3:uid="{7D91E907-32B9-4293-8FD3-618087995184}" name="SrcObject"/>
    <tableColumn id="8" xr3:uid="{F518BDC3-DFC4-434F-8704-DC204300B066}" name="TgtModel"/>
    <tableColumn id="9" xr3:uid="{24871AFC-D0C1-4358-9D11-254E94E998A2}" name="TgtObje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8E7051-5FF4-43B8-A90D-64F8577BA2CE}" name="nc_command" displayName="nc_command" ref="J3:ON4" tableType="queryTable" totalsRowShown="0">
  <autoFilter ref="J3:ON4" xr:uid="{D4E636BD-ABD4-4528-8DCD-CFD16D48EFC2}"/>
  <tableColumns count="395">
    <tableColumn id="195" xr3:uid="{BC3DF7BC-3EED-4B18-B2F0-9DC036537EB8}" uniqueName="195" name="application : ERASE_MEMORY" queryTableFieldId="195" dataDxfId="272"/>
    <tableColumn id="83" xr3:uid="{4F305647-F032-4778-9A8D-9C7B0096256E}" uniqueName="83" name="model : OPEN" queryTableFieldId="83" dataDxfId="271"/>
    <tableColumn id="293" xr3:uid="{634CF841-E51B-41EF-9942-9C3CC24E5A45}" uniqueName="293" name="tbl_model : OPEN" queryTableFieldId="910"/>
    <tableColumn id="85" xr3:uid="{3E15212A-1E8F-4782-BA5D-2A731B096AA4}" uniqueName="85" name="model : REGENERATE" queryTableFieldId="85" dataDxfId="270"/>
    <tableColumn id="312" xr3:uid="{4872E885-5791-44D4-9B5B-FB1CA2874EBC}" uniqueName="312" name="tbl_model : REGENERATE" queryTableFieldId="1078" dataDxfId="269"/>
    <tableColumn id="110" xr3:uid="{BC958088-C72C-468A-B446-160F804B447E}" uniqueName="110" name="parameter : GET" queryTableFieldId="110" dataDxfId="268"/>
    <tableColumn id="300" xr3:uid="{6E1CE501-2E8A-4559-91E1-0B6C79F7C5BF}" uniqueName="300" name="tbl_parameter : GET" queryTableFieldId="879"/>
    <tableColumn id="114" xr3:uid="{11FD005D-A44C-4903-B47A-01EFBA21A268}" uniqueName="114" name="parameter : SET" queryTableFieldId="114" dataDxfId="267"/>
    <tableColumn id="303" xr3:uid="{55862111-4F27-4CB2-A530-D1E6313F0D98}" uniqueName="303" name="tbl_parameter : SET" queryTableFieldId="881"/>
    <tableColumn id="115" xr3:uid="{9043C304-4D21-49F4-97B8-EC670967111C}" uniqueName="115" name="parameter : SET_CREATE" queryTableFieldId="115" dataDxfId="266"/>
    <tableColumn id="304" xr3:uid="{410C63F7-B1EF-423C-928E-27A59D021E64}" uniqueName="304" name="tbl_parameter : SET_CREATE" queryTableFieldId="882"/>
    <tableColumn id="93" xr3:uid="{8544FF81-1B06-4DC4-AB34-479923A20B00}" uniqueName="93" name="model : SAVE" queryTableFieldId="93" dataDxfId="265"/>
    <tableColumn id="320" xr3:uid="{B9782473-7DB0-428D-8885-DDAA0DC1A202}" uniqueName="320" name="tbl_model : SAVE" queryTableFieldId="1307"/>
    <tableColumn id="94" xr3:uid="{343694BB-EE99-470B-B1D4-6DF532E12943}" uniqueName="94" name="model : SAVE_AS" queryTableFieldId="94" dataDxfId="264"/>
    <tableColumn id="321" xr3:uid="{A1E9A4FA-23CC-4CC1-89EE-93143F11D960}" uniqueName="321" name="tbl_model : SAVE_AS" queryTableFieldId="1308"/>
    <tableColumn id="60" xr3:uid="{83860C11-8628-468F-AEBF-C79F77EC4455}" uniqueName="60" name="model : GET_ACTIVE" queryTableFieldId="60" dataDxfId="263"/>
    <tableColumn id="62" xr3:uid="{A403E72C-11F2-42CA-9E4D-EFFD10CE58DE}" uniqueName="62" name="model : GET_FILE_EXT" queryTableFieldId="62" dataDxfId="262"/>
    <tableColumn id="63" xr3:uid="{89E2C7D2-0278-4A22-86C9-4E9197BABFD6}" uniqueName="63" name="model : GET_FILE_ROOT" queryTableFieldId="63" dataDxfId="261"/>
    <tableColumn id="1" xr3:uid="{71CFF0F4-B229-47EF-9F92-04C68765035C}" uniqueName="1" name="model : ASSEMBLE" queryTableFieldId="1" dataDxfId="260"/>
    <tableColumn id="317" xr3:uid="{7828FC8E-BDCA-4B59-9E8C-3B9603E63B84}" uniqueName="317" name="tbl_model : ASSEMBLE" queryTableFieldId="1088"/>
    <tableColumn id="2" xr3:uid="{D054070F-4A34-46DD-B77F-9A7FA5DC3B12}" uniqueName="2" name="model : ASSEMBLE_ALL" queryTableFieldId="2" dataDxfId="259"/>
    <tableColumn id="3" xr3:uid="{5A0250B0-4F80-4A5A-9C14-57ADADC2F528}" uniqueName="3" name="model : ASSEMBLE_ALL_ROOT" queryTableFieldId="3" dataDxfId="258"/>
    <tableColumn id="319" xr3:uid="{023E85E6-4926-4315-B794-C2BC9C8F3D78}" uniqueName="319" name="tbl_model : ASSEMBLE_ALL_ROOT" queryTableFieldId="1305"/>
    <tableColumn id="4" xr3:uid="{D74877BF-ADA3-442B-B694-F92AF170788A}" uniqueName="4" name="model : ASSEMBLE_SUPPRESS" queryTableFieldId="4" dataDxfId="257"/>
    <tableColumn id="310" xr3:uid="{A4F9A468-2EE4-48DB-BFE8-0DD41856335B}" uniqueName="310" name="tbl_model : ASSEMBLE_SUPPRESS" queryTableFieldId="1090"/>
    <tableColumn id="6" xr3:uid="{434FF589-D892-4DC7-8771-1EAEE1A9CD23}" uniqueName="6" name="model : DELETE" queryTableFieldId="6" dataDxfId="256"/>
    <tableColumn id="382" xr3:uid="{B8C1A9AF-0CF1-456E-99E2-B69BD16DC836}" uniqueName="382" name="tbl_model : DELETE" queryTableFieldId="1938"/>
    <tableColumn id="9" xr3:uid="{C26B0EA0-0A64-4FEB-8B06-C2BD6117B4BF}" uniqueName="9" name="model : DELETE_SUPPRESSED" queryTableFieldId="9" dataDxfId="255"/>
    <tableColumn id="384" xr3:uid="{04865D7A-519F-42B0-99D7-E14CC2FD20D7}" uniqueName="384" name="tbl_model : DELETE_SUPPRESSED" queryTableFieldId="1942"/>
    <tableColumn id="55" xr3:uid="{5212F76A-DA45-49FB-AA08-5C87EE2100DF}" uniqueName="55" name="model : EXPORT_STEP" queryTableFieldId="55" dataDxfId="254"/>
    <tableColumn id="358" xr3:uid="{16E0CAA3-B175-4F88-AA88-A275E6C1E47A}" uniqueName="358" name="tbl_model : EXPORT_STEP" queryTableFieldId="1608"/>
    <tableColumn id="56" xr3:uid="{B5ADD27C-0CB4-46AB-9F6C-EAD423F5DFC3}" uniqueName="56" name="model : EXPORT_STEP_PROFILE" queryTableFieldId="56" dataDxfId="253"/>
    <tableColumn id="359" xr3:uid="{34FD82EA-8979-4933-A4B3-C28C9973D240}" uniqueName="359" name="tbl_model : EXPORT_STEP_PROFILE" queryTableFieldId="1609"/>
    <tableColumn id="54" xr3:uid="{61C822C1-AD70-46B0-AAD5-3F62F11671BB}" uniqueName="54" name="model : EXPORT_PDF" queryTableFieldId="54" dataDxfId="252"/>
    <tableColumn id="361" xr3:uid="{AE485346-50E3-474D-B887-DEE15A50EFB4}" uniqueName="361" name="tbl_model : EXPORT_PDF" queryTableFieldId="1614"/>
    <tableColumn id="50" xr3:uid="{AF58B6A1-DC66-4DFF-99AF-A71AC6A4B142}" uniqueName="50" name="model : EXPORT_DRW_PDF" queryTableFieldId="50" dataDxfId="251"/>
    <tableColumn id="362" xr3:uid="{84F52060-943C-4C69-8FBE-ECEF4D665960}" uniqueName="362" name="tbl_model : EXPORT_DRW_PDF" queryTableFieldId="1617"/>
    <tableColumn id="280" xr3:uid="{F4EAB21E-1817-4BEB-A880-81D9CF02F884}" uniqueName="280" name="model : EXPORT_PVZ" queryTableFieldId="921"/>
    <tableColumn id="49" xr3:uid="{0B50F83C-1759-4506-BD11-279111CA5F40}" uniqueName="49" name="model : EXPORT_3D_PDF" queryTableFieldId="49" dataDxfId="250"/>
    <tableColumn id="360" xr3:uid="{16494827-45A9-426E-88F9-FCBA3444F5E3}" uniqueName="360" name="tbl_model : EXPORT_3D_PDF" queryTableFieldId="1613"/>
    <tableColumn id="51" xr3:uid="{70CC34EB-C5B1-4BC5-9D94-EE669BBF63CF}" uniqueName="51" name="model : EXPORT_DXF" queryTableFieldId="51" dataDxfId="249"/>
    <tableColumn id="355" xr3:uid="{37000F83-58FC-4A1F-A098-57AC908EF4F5}" uniqueName="355" name="tbl_model : EXPORT_DXF" queryTableFieldId="1603"/>
    <tableColumn id="52" xr3:uid="{ADF65954-F7BF-47E6-AA19-591C5D0EDD78}" uniqueName="52" name="model : EXPORT_IGES" queryTableFieldId="52" dataDxfId="248"/>
    <tableColumn id="356" xr3:uid="{30DE6487-1089-4B16-AD3B-A4465AC4DD3A}" uniqueName="356" name="tbl_model : EXPORT_IGES" queryTableFieldId="1605"/>
    <tableColumn id="53" xr3:uid="{D73FA87B-A61C-43B8-AFDE-DDD4ABE94BC7}" uniqueName="53" name="model : EXPORT_IGES_PROFILE" queryTableFieldId="53" dataDxfId="247"/>
    <tableColumn id="357" xr3:uid="{DA65A6AA-03D8-4DE4-9B64-2D09ACC64208}" uniqueName="357" name="tbl_model : EXPORT_IGES_PROFILE" queryTableFieldId="1607"/>
    <tableColumn id="57" xr3:uid="{7329BF80-72AC-4B56-B354-F1C2F4ED2B5B}" uniqueName="57" name="model : FAMILY_TBL_EXISTS" queryTableFieldId="57" dataDxfId="246"/>
    <tableColumn id="345" xr3:uid="{AFF0B79A-7A1A-4123-A85B-078364B338E6}" uniqueName="345" name="tbl_model : FAMILY_TBL_EXISTS" queryTableFieldId="1583"/>
    <tableColumn id="58" xr3:uid="{4242D0D2-E6F8-465A-8DF9-D09BA2992550}" uniqueName="58" name="model : FAMILY_TBL_INST_EXISTS" queryTableFieldId="58" dataDxfId="245"/>
    <tableColumn id="346" xr3:uid="{7575B0DD-EE67-47B3-81C2-859FF3AE7E0F}" uniqueName="346" name="tbl_model : FAMILY_TBL_INST_EXISTS" queryTableFieldId="1584"/>
    <tableColumn id="59" xr3:uid="{020C2546-EE86-43AC-B94A-B2E246AD8886}" uniqueName="59" name="model : FAMILY_TBL_OPEN_INST" queryTableFieldId="59" dataDxfId="244"/>
    <tableColumn id="318" xr3:uid="{88827439-419E-47CF-912F-5CFCA0DCD456}" uniqueName="318" name="tbl_model : FAMILY_TBL_OPEN_INST" queryTableFieldId="1622"/>
    <tableColumn id="7" xr3:uid="{583311B1-7EAC-4F4C-936D-D8AE1DC819E2}" uniqueName="7" name="model : DELETE_FAMILY_TBL" queryTableFieldId="7" dataDxfId="243"/>
    <tableColumn id="383" xr3:uid="{BD589E8F-E5EE-4DB8-AFE8-0B73A8DF8464}" uniqueName="383" name="tbl_model : DELETE_FAMILY_TBL" queryTableFieldId="1939"/>
    <tableColumn id="8" xr3:uid="{21ABA692-CE40-4094-A2E2-7E81A198706E}" uniqueName="8" name="model : DELETE_RELATIONS" queryTableFieldId="8" dataDxfId="242"/>
    <tableColumn id="335" xr3:uid="{62ECC256-CCC2-4317-BB44-B4A4E1ECD906}" uniqueName="335" name="tbl_model : DELETE_RELATIONS" queryTableFieldId="1338"/>
    <tableColumn id="12" xr3:uid="{E18C4E89-BC9C-48F4-BBAA-7AAD7F800734}" uniqueName="12" name="model : DRW_CREATE" queryTableFieldId="12" dataDxfId="241"/>
    <tableColumn id="385" xr3:uid="{4CD26CE0-0652-41DC-9ECF-A158040B3F22}" uniqueName="385" name="tbl_model : DRW_CREATE" queryTableFieldId="1944"/>
    <tableColumn id="15" xr3:uid="{580906DA-0AD6-4AE5-92D2-631DAD9EB527}" uniqueName="15" name="model : DRW_EXPORT_FAIR" queryTableFieldId="15" dataDxfId="240"/>
    <tableColumn id="364" xr3:uid="{35673DAE-2143-4E94-B260-F056ECC02E2C}" uniqueName="364" name="tbl_model : DRW_EXPORT_FAIR" queryTableFieldId="1625"/>
    <tableColumn id="27" xr3:uid="{02373EE8-AA4D-43F2-B4C6-5D049ABC43E6}" uniqueName="27" name="model : DRW_REGENERATE" queryTableFieldId="27" dataDxfId="239"/>
    <tableColumn id="5" xr3:uid="{00F86180-80AF-40E7-B3D4-CB2636BC3A5A}" uniqueName="5" name="model : CLOSE_WINDOW" queryTableFieldId="5" dataDxfId="238"/>
    <tableColumn id="283" xr3:uid="{79F6FE8B-51E0-4935-A60A-F8F3EEA1A45C}" uniqueName="283" name="model : DELETE_RANGE" queryTableFieldId="515"/>
    <tableColumn id="149" xr3:uid="{A2B13E14-D2C1-4084-B15E-FCA6461BB52D}" uniqueName="149" name="model : DISPLAY" queryTableFieldId="920"/>
    <tableColumn id="11" xr3:uid="{30005F51-599C-4EDD-BBBC-AD3B177400E8}" uniqueName="11" name="model : DRW_ADD_SHEET" queryTableFieldId="11" dataDxfId="237"/>
    <tableColumn id="13" xr3:uid="{18DDAC10-C5BC-432D-8271-93EE8265EC34}" uniqueName="13" name="model : DRW_DEL_SHEET_LAST" queryTableFieldId="13" dataDxfId="236"/>
    <tableColumn id="14" xr3:uid="{CBD6FF89-8238-45FA-8ED6-9BCB6C673FCE}" uniqueName="14" name="model : DRW_DEL_SHEET_NUM" queryTableFieldId="14" dataDxfId="235"/>
    <tableColumn id="16" xr3:uid="{146AE43F-3B1A-4070-9BFC-1433F332E5E9}" uniqueName="16" name="model : DRW_GET_SHEET_COUNT" queryTableFieldId="16" dataDxfId="234"/>
    <tableColumn id="17" xr3:uid="{D8C65C17-29F8-494A-896A-FDB244D18940}" uniqueName="17" name="model : DRW_GET_SHEET_NUM" queryTableFieldId="17" dataDxfId="233"/>
    <tableColumn id="18" xr3:uid="{D435715F-CF55-48A1-9D3F-0DF51B5605E8}" uniqueName="18" name="model : DRW_GET_SHEET_SCALE" queryTableFieldId="18" dataDxfId="232"/>
    <tableColumn id="19" xr3:uid="{70F00ECA-3549-46F3-952C-7E58F6CAF7EA}" uniqueName="19" name="model : DRW_GET_SHEET_SIZE" queryTableFieldId="19" dataDxfId="231"/>
    <tableColumn id="20" xr3:uid="{8B105BD1-750C-454D-B047-940CC6E2C581}" uniqueName="20" name="model : DRW_HAS_DIMENSIONS" queryTableFieldId="20" dataDxfId="230"/>
    <tableColumn id="21" xr3:uid="{AEB9A594-0C1F-4B74-9183-2162CE925EB6}" uniqueName="21" name="model : DRW_MODEL_ADD" queryTableFieldId="21" dataDxfId="229"/>
    <tableColumn id="22" xr3:uid="{7EF2F91C-FB89-4758-B4C5-5CE7186575F6}" uniqueName="22" name="model : DRW_MODEL_COUNT" queryTableFieldId="22" dataDxfId="228"/>
    <tableColumn id="23" xr3:uid="{E2CF9C02-12B3-485C-8346-C370A2B230BE}" uniqueName="23" name="model : DRW_MODEL_DELETE" queryTableFieldId="23" dataDxfId="227"/>
    <tableColumn id="24" xr3:uid="{34F4FB7D-6E40-44B6-8704-29BEF0693883}" uniqueName="24" name="model : DRW_MODEL_EXISTS" queryTableFieldId="24" dataDxfId="226"/>
    <tableColumn id="25" xr3:uid="{3AA2AFCC-77E3-4F97-BF9B-1331F9D0BDB0}" uniqueName="25" name="model : DRW_MODEL_GET" queryTableFieldId="25" dataDxfId="225"/>
    <tableColumn id="26" xr3:uid="{1C2A8276-F65E-43DA-823B-A05C56AFFFD5}" uniqueName="26" name="model : DRW_MODEL_SET" queryTableFieldId="26" dataDxfId="224"/>
    <tableColumn id="28" xr3:uid="{702B1E31-845B-416B-A0D4-F7090850C5CA}" uniqueName="28" name="model : DRW_SEL_SHEET_FIRST" queryTableFieldId="28" dataDxfId="223"/>
    <tableColumn id="29" xr3:uid="{2058BD89-5247-4C35-BB3B-468A3B84B777}" uniqueName="29" name="model : DRW_SEL_SHEET_LAST" queryTableFieldId="29" dataDxfId="222"/>
    <tableColumn id="30" xr3:uid="{E5AE4E67-748E-4E45-968C-21EA8880917C}" uniqueName="30" name="model : DRW_SEL_SHEET_NUM" queryTableFieldId="30" dataDxfId="221"/>
    <tableColumn id="31" xr3:uid="{3329E357-7380-4C3C-84DF-1607437C8742}" uniqueName="31" name="model : DRW_SET_SHEET_SCALE" queryTableFieldId="31" dataDxfId="220"/>
    <tableColumn id="32" xr3:uid="{87F46014-D248-4E75-84A1-C39470C22419}" uniqueName="32" name="model : DRW_SYMBOL_ADD" queryTableFieldId="32" dataDxfId="219"/>
    <tableColumn id="33" xr3:uid="{9DCB31AA-954D-49A8-A682-3D0F5DE84D25}" uniqueName="33" name="model : DRW_SYMBOL_DELETE" queryTableFieldId="33" dataDxfId="218"/>
    <tableColumn id="34" xr3:uid="{B7E1BCB5-49E2-4756-824C-C46744E3AAC6}" uniqueName="34" name="model : DRW_SYMBOL_EXISTS" queryTableFieldId="34" dataDxfId="217"/>
    <tableColumn id="35" xr3:uid="{FEA3D7F5-76A2-4F5F-9A78-A99AD33686E6}" uniqueName="35" name="model : DRW_VIEW_BBOX_XY" queryTableFieldId="35" dataDxfId="216"/>
    <tableColumn id="36" xr3:uid="{37E917D2-A734-4637-9A82-798570A166CC}" uniqueName="36" name="model : DRW_VIEW_COUNT" queryTableFieldId="36" dataDxfId="215"/>
    <tableColumn id="37" xr3:uid="{689A533E-78C1-4AD4-8B13-477A51EE64E8}" uniqueName="37" name="model : DRW_VIEW_CREATE_EXP_GEN" queryTableFieldId="37" dataDxfId="214"/>
    <tableColumn id="38" xr3:uid="{B35C0A19-A865-4E6D-BFB8-E99CFCD60D68}" uniqueName="38" name="model : DRW_VIEW_CREATE_GEN" queryTableFieldId="38" dataDxfId="213"/>
    <tableColumn id="397" xr3:uid="{F22DF4BE-5C4F-4228-A61F-4479906E24A4}" uniqueName="397" name="tbl_model : GET_INTERFERENCES" queryTableFieldId="2485"/>
    <tableColumn id="394" xr3:uid="{327C313B-CC41-46AB-A16A-F612786A18EB}" uniqueName="394" name="tbl_feature : GET_BODY_FEAT_IDS" queryTableFieldId="2489"/>
    <tableColumn id="88" xr3:uid="{D2283E79-873F-4FAE-8B7B-57970D7466F0}" uniqueName="88" name="model : REPORT_ITEM_COUNTS" queryTableFieldId="88" dataDxfId="212"/>
    <tableColumn id="324" xr3:uid="{5B4D4B54-2F17-4EF3-8E4F-75DD34F8DB48}" uniqueName="324" name="tbl_model : REPORT_ITEM_COUNTS" queryTableFieldId="1315"/>
    <tableColumn id="89" xr3:uid="{559C7DB5-64F3-4925-B0AC-D5423352042C}" uniqueName="89" name="model : REPORT_ITEM_CNT_PARMS" queryTableFieldId="89" dataDxfId="211"/>
    <tableColumn id="294" xr3:uid="{C63E3883-5ED9-4AEE-8C04-5B44EFBAC889}" uniqueName="294" name="tbl_model : REPORT_ITEM_CNT_PARMS" queryTableFieldId="874"/>
    <tableColumn id="90" xr3:uid="{AAD74D0A-70D2-46D1-B105-E4E347F41138}" uniqueName="90" name="model : RESUME" queryTableFieldId="90" dataDxfId="210"/>
    <tableColumn id="314" xr3:uid="{BBA2E71C-CC0B-4CDE-A010-B0B775A2D8CC}" uniqueName="314" name="tbl_model : RESUME" queryTableFieldId="1082"/>
    <tableColumn id="91" xr3:uid="{2B4CD6AA-86F8-447E-BAAD-55EFDB06A05B}" uniqueName="91" name="model : RESUME_CHILDREN" queryTableFieldId="91" dataDxfId="209"/>
    <tableColumn id="316" xr3:uid="{2CA8A87D-1DF1-4907-9D25-E949964DE579}" uniqueName="316" name="tbl_model : RESUME_CHILDREN" queryTableFieldId="1086"/>
    <tableColumn id="92" xr3:uid="{CF81EB7A-A18C-4545-A734-D26D1EE523BB}" uniqueName="92" name="model : RESUME_RANGE" queryTableFieldId="92" dataDxfId="208"/>
    <tableColumn id="95" xr3:uid="{F746AB45-4733-47D8-8AAE-14BA55A02F1A}" uniqueName="95" name="model : SAVE_AS_TO_RELEASED" queryTableFieldId="95" dataDxfId="207"/>
    <tableColumn id="322" xr3:uid="{FA0A9D57-6373-487F-972A-CB2A8E695710}" uniqueName="322" name="tbl_model : SAVE_AS_TO_RELEASED" queryTableFieldId="1311"/>
    <tableColumn id="96" xr3:uid="{F2DA2A8A-1311-4B44-A99F-9827B629FB37}" uniqueName="96" name="model : SAVE_TO_RELEASED" queryTableFieldId="96" dataDxfId="206"/>
    <tableColumn id="323" xr3:uid="{4366AFE0-CCEA-4529-94EF-9C450BA21867}" uniqueName="323" name="tbl_model : SAVE_TO_RELEASED" queryTableFieldId="1312"/>
    <tableColumn id="97" xr3:uid="{4AFB4E61-84BD-42C5-905C-0C65F8F45436}" uniqueName="97" name="model : SET_LENGTH_UNITS" queryTableFieldId="97" dataDxfId="205"/>
    <tableColumn id="380" xr3:uid="{15AB16F8-4E5C-4D8D-83A8-DEFFCBD9A2A4}" uniqueName="380" name="tbl_model : SET_LENGTH_UNITS" queryTableFieldId="1934"/>
    <tableColumn id="98" xr3:uid="{D6097ABF-624E-443F-B3B1-F99DB949915C}" uniqueName="98" name="model : SET_MASS_UNITS" queryTableFieldId="98" dataDxfId="204"/>
    <tableColumn id="381" xr3:uid="{ECEFEE04-9AA8-4842-A6CD-C1842CD664E9}" uniqueName="381" name="tbl_model : SET_MASS_UNITS" queryTableFieldId="1935"/>
    <tableColumn id="100" xr3:uid="{30F9A1A4-B946-44A3-9407-191A833AC5FD}" uniqueName="100" name="model : SUPPRESS" queryTableFieldId="100" dataDxfId="203"/>
    <tableColumn id="315" xr3:uid="{10ADFD1B-F01F-4FC2-847A-C2899739E964}" uniqueName="315" name="tbl_model : SUPPRESS" queryTableFieldId="1083"/>
    <tableColumn id="101" xr3:uid="{E8C9576E-FD4C-4706-8E29-E7509580CD4D}" uniqueName="101" name="model : SUPPRESS_RANGE" queryTableFieldId="101" dataDxfId="202"/>
    <tableColumn id="284" xr3:uid="{7D61255B-488D-44FF-9BED-C7297F98E2DB}" uniqueName="284" name="model : MATL_ACTIVE_BOOL" queryTableFieldId="517"/>
    <tableColumn id="330" xr3:uid="{9DFE361F-8559-4180-98DC-2DCEE5259351}" uniqueName="330" name="tbl_model : MATL_GET" queryTableFieldId="1328"/>
    <tableColumn id="285" xr3:uid="{B81B1E4E-1D01-489E-85FF-9A8193E64F65}" uniqueName="285" name="model : MATL_GET_APPEND" queryTableFieldId="519"/>
    <tableColumn id="276" xr3:uid="{464B0F74-60B4-424E-A036-C714B1030B97}" uniqueName="276" name="model : MATL_GET_CUR" queryTableFieldId="411"/>
    <tableColumn id="331" xr3:uid="{3504DC07-565F-47BC-AF33-00CE20CC20AC}" uniqueName="331" name="tbl_model : MATL_GET_CUR" queryTableFieldId="1329"/>
    <tableColumn id="278" xr3:uid="{79E4053E-D4A9-454C-B4F6-575CCC164E6C}" uniqueName="278" name="model : MATL_LOAD_SET" queryTableFieldId="413"/>
    <tableColumn id="333" xr3:uid="{62A2AB21-B3E5-4272-86E1-34EC3FBF6D4E}" uniqueName="333" name="tbl_model : MATL_LOAD_SET" queryTableFieldId="1333"/>
    <tableColumn id="277" xr3:uid="{3FC283D5-732D-4A66-AA33-5A0A6205EE76}" uniqueName="277" name="model : MATL_LOAD" queryTableFieldId="412"/>
    <tableColumn id="332" xr3:uid="{35318834-ACA1-4A7B-8482-CC439F69A710}" uniqueName="332" name="tbl_model : MATL_LOAD" queryTableFieldId="1332"/>
    <tableColumn id="275" xr3:uid="{FDCCD1A5-609A-49CD-A85F-D336A47E9647}" uniqueName="275" name="model : MATL_EXISTS" queryTableFieldId="528"/>
    <tableColumn id="329" xr3:uid="{DB7685FD-00A9-48BE-96C9-9B81CEE113FF}" uniqueName="329" name="tbl_model : MATL_EXISTS" queryTableFieldId="1326"/>
    <tableColumn id="274" xr3:uid="{58AC127D-7724-4D05-9471-B47C8CBD4DD5}" uniqueName="274" name="model : MATL_DELETE" queryTableFieldId="409"/>
    <tableColumn id="379" xr3:uid="{4F056232-6B97-49B1-9080-6675E4378E34}" uniqueName="379" name="tbl_model : MATL_DELETE" queryTableFieldId="1932"/>
    <tableColumn id="39" xr3:uid="{C2BF1980-BAD3-4827-BEFD-47D76CF3A0D8}" uniqueName="39" name="model : DRW_VIEW_CREATE_PROJ" queryTableFieldId="39" dataDxfId="201"/>
    <tableColumn id="40" xr3:uid="{016831CD-645B-4674-8BFF-C9CBA9737A49}" uniqueName="40" name="model : DRW_VIEW_DELETE" queryTableFieldId="40" dataDxfId="200"/>
    <tableColumn id="41" xr3:uid="{9DC7FC73-C7DA-4CC7-A81E-F2C9F0E6EE8A}" uniqueName="41" name="model : DRW_VIEW_EXISTS" queryTableFieldId="41" dataDxfId="199"/>
    <tableColumn id="42" xr3:uid="{3C7711A4-4223-4BC1-A2A3-D4DDE3FFCC4F}" uniqueName="42" name="model : DRW_VIEW_LOC_GET" queryTableFieldId="42" dataDxfId="198"/>
    <tableColumn id="43" xr3:uid="{8CB242A2-2D35-428E-90C3-FA0218090C6A}" uniqueName="43" name="model : DRW_VIEW_LOC_SET" queryTableFieldId="43" dataDxfId="197"/>
    <tableColumn id="44" xr3:uid="{DDB8B0A4-917A-4381-BB83-C6603450927A}" uniqueName="44" name="model : DRW_VIEW_MOVE" queryTableFieldId="44" dataDxfId="196"/>
    <tableColumn id="45" xr3:uid="{7222A6CF-F789-44FA-AC84-DB465E59ADF2}" uniqueName="45" name="model : DRW_VIEW_RENAME" queryTableFieldId="45" dataDxfId="195"/>
    <tableColumn id="46" xr3:uid="{A901DF2D-3EB6-45E5-A216-27C1AED95358}" uniqueName="46" name="model : DRW_VIEW_SCALE_GET" queryTableFieldId="46" dataDxfId="194"/>
    <tableColumn id="47" xr3:uid="{C651F657-05DA-4332-BEDA-D59D0055D9FC}" uniqueName="47" name="model : DRW_VIEW_SCALE_SET" queryTableFieldId="47" dataDxfId="193"/>
    <tableColumn id="48" xr3:uid="{2BE8E82E-F1F0-4A26-8810-26C0651DDE16}" uniqueName="48" name="model : DRW_VIEW_SHEET_GET" queryTableFieldId="48" dataDxfId="192"/>
    <tableColumn id="61" xr3:uid="{D5411CDD-4E27-4AFD-BC39-07D9CA02258E}" uniqueName="61" name="model : GET_APPEND_RELS" queryTableFieldId="61" dataDxfId="191"/>
    <tableColumn id="64" xr3:uid="{E70A64C6-FAD8-4C6F-8E38-03F18CB275F0}" uniqueName="64" name="model : GET_LENGTH_UNITS" queryTableFieldId="64" dataDxfId="190"/>
    <tableColumn id="288" xr3:uid="{0C1AA14C-40E9-4EFE-8583-4C654AF4ED52}" uniqueName="288" name="tbl_model : GET_LENGTH_UNITS" queryTableFieldId="906"/>
    <tableColumn id="65" xr3:uid="{FA619F10-611F-4739-A123-0F5B773ECF37}" uniqueName="65" name="model : GET_MASS_UNITS" queryTableFieldId="65" dataDxfId="189"/>
    <tableColumn id="289" xr3:uid="{4F0664F3-43B3-40FF-B4E8-762412386ED7}" uniqueName="289" name="tbl_model : GET_MASS_UNITS" queryTableFieldId="907"/>
    <tableColumn id="66" xr3:uid="{D896188C-34AA-4EF3-A260-2BE827DCAE82}" uniqueName="66" name="model : GET_MP_BBOX" queryTableFieldId="66" dataDxfId="188"/>
    <tableColumn id="291" xr3:uid="{F2805E9B-7B2C-435F-842C-5A572B5DA983}" uniqueName="291" name="tbl_model : GET_MP_BBOX" queryTableFieldId="908"/>
    <tableColumn id="67" xr3:uid="{E742CF66-35D1-4ED2-9246-47037DDCE61F}" uniqueName="67" name="model : GET_MP_BBOX_VOL" queryTableFieldId="67" dataDxfId="187"/>
    <tableColumn id="347" xr3:uid="{7321AB22-8DA7-4492-8C31-67F6D017E49E}" uniqueName="347" name="tbl_model : GET_MP_BBOX_VOL" queryTableFieldId="1587"/>
    <tableColumn id="68" xr3:uid="{78E264B1-A935-4E88-B003-D71AF9519B2E}" uniqueName="68" name="model : GET_MP_BBOX_XYZ" queryTableFieldId="68" dataDxfId="186"/>
    <tableColumn id="348" xr3:uid="{55ADA7DB-2AFB-4F9F-8A79-78260AE3475F}" uniqueName="348" name="tbl_model : GET_MP_BBOX_XYZ" queryTableFieldId="1589"/>
    <tableColumn id="69" xr3:uid="{2DACC6B3-D357-4D66-A046-752466C83849}" uniqueName="69" name="model : GET_MP_SURF_AREA" queryTableFieldId="69" dataDxfId="185"/>
    <tableColumn id="349" xr3:uid="{E64264ED-15C7-4ED1-96F2-3BCF9083CA06}" uniqueName="349" name="tbl_model : GET_MP_SURF_AREA" queryTableFieldId="1591"/>
    <tableColumn id="70" xr3:uid="{79CEA991-68C4-45CE-9C38-86F691EBB83B}" uniqueName="70" name="model : GET_MP_VOL" queryTableFieldId="70" dataDxfId="184"/>
    <tableColumn id="350" xr3:uid="{38C70B36-DCF8-4E67-A990-DA3AC9525DB5}" uniqueName="350" name="tbl_model : GET_MP_VOL" queryTableFieldId="1592"/>
    <tableColumn id="328" xr3:uid="{E4324B63-E8ED-418D-AEBD-9B9094407DA4}" uniqueName="328" name="tbl_model : GET_RELATIONS" queryTableFieldId="2329"/>
    <tableColumn id="71" xr3:uid="{468BA149-04E7-410B-9678-29BB7B746BB8}" uniqueName="71" name="model : GET_STATE" queryTableFieldId="71" dataDxfId="183"/>
    <tableColumn id="365" xr3:uid="{21288C96-D3EF-4B0B-ABAB-81C74478590C}" uniqueName="365" name="tbl_model : GET_STATE" queryTableFieldId="1629"/>
    <tableColumn id="72" xr3:uid="{B7FCFE42-6FEA-45F0-A96D-F6DB3FD4303E}" uniqueName="72" name="model : IN_SESSION" queryTableFieldId="72" dataDxfId="182"/>
    <tableColumn id="73" xr3:uid="{EF657F29-3634-4A78-8985-D1AD2187756A}" uniqueName="73" name="model : IN_SESSION_BOOL" queryTableFieldId="73" dataDxfId="181"/>
    <tableColumn id="74" xr3:uid="{80785DDE-FA72-4273-B097-63E2C3BE6288}" uniqueName="74" name="model : LAYER_CREATE" queryTableFieldId="74" dataDxfId="180"/>
    <tableColumn id="75" xr3:uid="{3E2526B5-9A2C-4FDB-8CE3-4DB0A3963E47}" uniqueName="75" name="model : LAYER_DELETE" queryTableFieldId="75" dataDxfId="179"/>
    <tableColumn id="76" xr3:uid="{A964BC49-4F45-4192-B2E4-6501810B70E3}" uniqueName="76" name="model : LAYER_EXISTS" queryTableFieldId="76" dataDxfId="178"/>
    <tableColumn id="77" xr3:uid="{8F6FE355-691C-45F1-AFAB-975E96BFB61B}" uniqueName="77" name="model : LAYER_GET_STATE" queryTableFieldId="77" dataDxfId="177"/>
    <tableColumn id="78" xr3:uid="{6F333764-FA0E-46C3-B71E-B4C47B760881}" uniqueName="78" name="model : LAYER_HIDE" queryTableFieldId="78" dataDxfId="176"/>
    <tableColumn id="79" xr3:uid="{2C178378-98EB-4B55-B08B-CFAC655F84DF}" uniqueName="79" name="model : LAYER_SHOW" queryTableFieldId="79" dataDxfId="175"/>
    <tableColumn id="292" xr3:uid="{D3BA7F51-7DBB-4497-8CC1-0B1438398721}" uniqueName="292" name="tbl_model : LIST_INSTANCES" queryTableFieldId="909"/>
    <tableColumn id="80" xr3:uid="{66CA6B52-F7CC-456F-B12A-B83789B1FF61}" uniqueName="80" name="model : MASSPROPS" queryTableFieldId="80" dataDxfId="174"/>
    <tableColumn id="279" xr3:uid="{2A72DAEB-55AE-4D0A-ADBA-E177B4312B57}" uniqueName="279" name="model : MATL_SET_CUR" queryTableFieldId="414"/>
    <tableColumn id="334" xr3:uid="{0BFE9BF8-B118-4761-A28E-2932425A8EF3}" uniqueName="334" name="tbl_model : MATL_SET_CUR" queryTableFieldId="1336"/>
    <tableColumn id="81" xr3:uid="{5A6BA599-8C5B-4D11-A8CC-90905BE21DB7}" uniqueName="81" name="model : MODEL_VIEW_EXISTS" queryTableFieldId="81" dataDxfId="173"/>
    <tableColumn id="281" xr3:uid="{64A95999-B195-49CF-B958-347939024D5D}" uniqueName="281" name="model : MODEL_VIEW_SAVE" queryTableFieldId="281"/>
    <tableColumn id="82" xr3:uid="{6DDEAFC3-F73A-4152-9FA2-1277BBFF8A2A}" uniqueName="82" name="model : MODEL_VIEW_SELECT" queryTableFieldId="82" dataDxfId="172"/>
    <tableColumn id="282" xr3:uid="{9B1B7BB2-C66F-4C01-81C2-4531E8AA6ACC}" uniqueName="282" name="model : OPEN_PVZ" queryTableFieldId="513"/>
    <tableColumn id="84" xr3:uid="{E11B430B-3D4D-43DE-9AFC-CD43CB451D0D}" uniqueName="84" name="model : OPEN_RELEASED" queryTableFieldId="84" dataDxfId="171"/>
    <tableColumn id="86" xr3:uid="{E540920C-B9BF-4008-9769-F77A70D5E148}" uniqueName="86" name="model : RELATIONS_EXIST" queryTableFieldId="86" dataDxfId="170"/>
    <tableColumn id="87" xr3:uid="{1789FD1C-85A4-4CFD-AC6A-76D5641B297C}" uniqueName="87" name="model : RENAME_INSESSION" queryTableFieldId="87" dataDxfId="169"/>
    <tableColumn id="313" xr3:uid="{CA66E77D-5469-437D-9C5E-F24FC56E26BA}" uniqueName="313" name="tbl_model : RENAME_INSESSION" queryTableFieldId="1079" dataDxfId="168"/>
    <tableColumn id="391" xr3:uid="{2F89356D-81C2-4437-8894-823BB75B7A67}" uniqueName="391" name="tbl_model : LIST_INST_DEEP" queryTableFieldId="2325"/>
    <tableColumn id="393" xr3:uid="{91606F91-3316-4E35-9A3C-546877106721}" uniqueName="393" name="tbl_model : SET_RELATIONS" queryTableFieldId="2330"/>
    <tableColumn id="116" xr3:uid="{7C5E7732-4DE9-41EE-B355-FDF2BE450D91}" uniqueName="116" name="parameter : SET_STATE" queryTableFieldId="116" dataDxfId="167"/>
    <tableColumn id="305" xr3:uid="{C90A7A36-C313-419B-BF55-5E6FCE68D82B}" uniqueName="305" name="tbl_parameter : SET_STATE" queryTableFieldId="883"/>
    <tableColumn id="111" xr3:uid="{7373167B-F49F-48B0-9C39-514DDE431ECE}" uniqueName="111" name="parameter : GET_APPEND" queryTableFieldId="111" dataDxfId="166"/>
    <tableColumn id="112" xr3:uid="{95B85F84-99B0-4A42-BAE3-FF1F1EDBEEE5}" uniqueName="112" name="parameter : IS_DESIGNATED" queryTableFieldId="112" dataDxfId="165"/>
    <tableColumn id="302" xr3:uid="{6EDD909A-A627-4C6F-B53F-D3F0B0BF8536}" uniqueName="302" name="tbl_parameter : IS_DESIGNATED" queryTableFieldId="880"/>
    <tableColumn id="113" xr3:uid="{BB726A51-0008-42B7-8738-384C5D892C9C}" uniqueName="113" name="parameter : PARAM_GET_TO_ROWS" queryTableFieldId="113" dataDxfId="164"/>
    <tableColumn id="109" xr3:uid="{7F51924F-8613-4CD4-AF91-A8169C10446C}" uniqueName="109" name="parameter : EXISTS" queryTableFieldId="109" dataDxfId="163"/>
    <tableColumn id="299" xr3:uid="{74186401-0E9D-405E-91D7-CAD4A14F0FD1}" uniqueName="299" name="tbl_parameter : EXISTS" queryTableFieldId="878"/>
    <tableColumn id="108" xr3:uid="{0947E8FA-3484-4AA9-81C4-362ADB73E636}" uniqueName="108" name="parameter : DELETE" queryTableFieldId="108" dataDxfId="162"/>
    <tableColumn id="298" xr3:uid="{1296CD65-3C2F-45E6-A488-3B80183994D8}" uniqueName="298" name="tbl_parameter : DELETE" queryTableFieldId="877"/>
    <tableColumn id="107" xr3:uid="{30DF7944-837F-4E87-A87C-51DA0168E5AB}" uniqueName="107" name="parameter : COPY" queryTableFieldId="107" dataDxfId="161"/>
    <tableColumn id="296" xr3:uid="{B66AEB64-2F78-4BB3-9097-91CF804D4D5F}" uniqueName="296" name="tbl_parameter : COPY" queryTableFieldId="876"/>
    <tableColumn id="392" xr3:uid="{B80EA7F8-DF5D-4D93-BF47-C549D270EAC0}" uniqueName="392" name="application : BATCH_LIST_INST_DEEP" queryTableFieldId="2326"/>
    <tableColumn id="169" xr3:uid="{E8C61512-BB8C-43EE-8B3F-F50915415C22}" uniqueName="169" name="application : BATCH_APPEND_DRW_MDLS" queryTableFieldId="169" dataDxfId="160"/>
    <tableColumn id="170" xr3:uid="{C2B1481F-169C-4381-B489-85822452DB9A}" uniqueName="170" name="application : BATCH_APPEND_GET_FILES" queryTableFieldId="170" dataDxfId="159"/>
    <tableColumn id="171" xr3:uid="{F0A33360-A654-42E8-8978-7D8519CF4DB7}" uniqueName="171" name="application : BATCH_APPEND_LIST_FILES" queryTableFieldId="171" dataDxfId="158"/>
    <tableColumn id="172" xr3:uid="{1B63D623-DFBB-4FE7-BF39-797888F74792}" uniqueName="172" name="application : BATCH_GET_DRW_MDLS" queryTableFieldId="172" dataDxfId="157"/>
    <tableColumn id="173" xr3:uid="{6C1C25AD-CC0D-401C-AE5C-79109101D33C}" uniqueName="173" name="application : BATCH_GET_FILES" queryTableFieldId="173" dataDxfId="156"/>
    <tableColumn id="174" xr3:uid="{79D35707-3E5C-4478-8BC9-29678DC96194}" uniqueName="174" name="application : BATCH_LIST_EXPLODED_VIEWS" queryTableFieldId="174" dataDxfId="155"/>
    <tableColumn id="175" xr3:uid="{818878B2-7F51-44C9-BC58-06A36ED68F64}" uniqueName="175" name="application : BATCH_LIST_FILES" queryTableFieldId="175" dataDxfId="154"/>
    <tableColumn id="176" xr3:uid="{9FEB5F3C-66E0-40A9-A63E-7A3FE952CEDA}" uniqueName="176" name="application : BATCH_LIST_INSTANCES" queryTableFieldId="176" dataDxfId="153"/>
    <tableColumn id="177" xr3:uid="{4511E287-A62B-4A00-928A-8B5F5F9FF907}" uniqueName="177" name="application : BATCH_LIST_SIMP_REPS" queryTableFieldId="177" dataDxfId="152"/>
    <tableColumn id="178" xr3:uid="{936E4FA5-368E-44BC-9A1F-CCB1BE6C98BC}" uniqueName="178" name="application : BATCH_RESET" queryTableFieldId="178" dataDxfId="151"/>
    <tableColumn id="179" xr3:uid="{58D80A16-5EEF-4D30-90F6-C44C6CE19689}" uniqueName="179" name="application : BATCH_SKIP" queryTableFieldId="179" dataDxfId="150"/>
    <tableColumn id="180" xr3:uid="{D1C0D2E9-F065-48FC-A8DF-68D88612D9E6}" uniqueName="180" name="application : BATCH_START" queryTableFieldId="180" dataDxfId="149"/>
    <tableColumn id="388" xr3:uid="{340D2DC2-9417-4F45-91CD-93DD29C8440C}" uniqueName="388" name="tbl_application : BATCH_START" queryTableFieldId="2303"/>
    <tableColumn id="181" xr3:uid="{3E4D52B7-430D-48E3-9710-EB45CE40A86F}" uniqueName="181" name="application : CFG_GET_OPTION" queryTableFieldId="181" dataDxfId="148"/>
    <tableColumn id="182" xr3:uid="{DF787203-4E59-4C07-B573-B3AEA595198C}" uniqueName="182" name="application : CFG_SET_OPTION" queryTableFieldId="182" dataDxfId="147"/>
    <tableColumn id="183" xr3:uid="{286EE58A-F475-4166-9A52-6390C4C1A803}" uniqueName="183" name="application : DIR_CHANGE" queryTableFieldId="183" dataDxfId="146"/>
    <tableColumn id="184" xr3:uid="{70C2C1DB-39DA-4F02-B250-6024398D8875}" uniqueName="184" name="application : DIR_CONTAINS_BOOL" queryTableFieldId="184" dataDxfId="145"/>
    <tableColumn id="185" xr3:uid="{BEBEB511-87F9-45F5-9ABD-B35FC5C9DA77}" uniqueName="185" name="application : DIR_CREATE" queryTableFieldId="185" dataDxfId="144"/>
    <tableColumn id="186" xr3:uid="{F7747908-48CF-498D-8C15-CBE67455B10D}" uniqueName="186" name="application : DIR_DELETE" queryTableFieldId="186" dataDxfId="143"/>
    <tableColumn id="187" xr3:uid="{9216C3CA-FD35-4E52-B965-73D2B57411A9}" uniqueName="187" name="application : DIR_EXISTS" queryTableFieldId="187" dataDxfId="142"/>
    <tableColumn id="188" xr3:uid="{748AD39B-D430-41E5-8AF1-FA9869A9EE72}" uniqueName="188" name="application : DIR_EXISTS_BOOL" queryTableFieldId="188" dataDxfId="141"/>
    <tableColumn id="189" xr3:uid="{41600C3D-203A-4E15-A1FB-D13FCD2888B3}" uniqueName="189" name="application : DIR_GET" queryTableFieldId="189" dataDxfId="140"/>
    <tableColumn id="190" xr3:uid="{85231DA8-DE3E-4429-86EF-0C573D3FC581}" uniqueName="190" name="application : DIR_GET_NUMFILES" queryTableFieldId="190" dataDxfId="139"/>
    <tableColumn id="191" xr3:uid="{C61DD70C-3727-49B9-B792-82D87F8820E9}" uniqueName="191" name="application : DIR_PURGE" queryTableFieldId="191" dataDxfId="138"/>
    <tableColumn id="192" xr3:uid="{0BAF49E6-D5E1-4651-AF20-0F6358BDA814}" uniqueName="192" name="application : DIR_ZIP" queryTableFieldId="192" dataDxfId="137"/>
    <tableColumn id="193" xr3:uid="{17578B54-1457-4B0E-97A0-A9CCDB16F65D}" uniqueName="193" name="application : ERASE_FILE" queryTableFieldId="193" dataDxfId="136"/>
    <tableColumn id="352" xr3:uid="{C1163606-3E70-4331-BF75-A1FC98306EAC}" uniqueName="352" name="tbl_application : ERASE_FILE" queryTableFieldId="1597"/>
    <tableColumn id="194" xr3:uid="{795623FC-E906-46CA-9F2A-3895155EA1AB}" uniqueName="194" name="application : ERASE_FILE_AND_CHILDREN" queryTableFieldId="194" dataDxfId="135"/>
    <tableColumn id="201" xr3:uid="{2B58C3EF-A045-47EC-8AFE-2948C20EB7F9}" uniqueName="201" name="application : FILE_MOVE" queryTableFieldId="201" dataDxfId="134"/>
    <tableColumn id="354" xr3:uid="{80767E4B-F044-45B8-A2FB-605B11014D94}" uniqueName="354" name="tbl_application : FILE_MOVE" queryTableFieldId="1601"/>
    <tableColumn id="325" xr3:uid="{3B4084C5-2E20-4F5C-BE70-B4026B98F754}" uniqueName="325" name="tbl_application : GET_FILES" queryTableFieldId="1317"/>
    <tableColumn id="353" xr3:uid="{AFCEE0D0-79D6-4325-AB98-2F3032DE6516}" uniqueName="353" name="tbl_application : ERASE_FILE_AND_CHILDREN" queryTableFieldId="1598"/>
    <tableColumn id="196" xr3:uid="{091BCB5A-D955-481C-8612-07B707D834B3}" uniqueName="196" name="application : ERASE_NOTDISPLAYED" queryTableFieldId="196" dataDxfId="133"/>
    <tableColumn id="200" xr3:uid="{5C45D16C-7869-42A5-9769-CFFE9AF174CF}" uniqueName="200" name="application : FILE_EXISTS_BOOL" queryTableFieldId="200" dataDxfId="132"/>
    <tableColumn id="342" xr3:uid="{DBC511A6-CC12-4307-BF69-B32A090B7098}" uniqueName="342" name="tbl_application : FILE_EXISTS_BOOL" queryTableFieldId="1577"/>
    <tableColumn id="206" xr3:uid="{C432CE75-B61A-4B16-B1F2-080F73F2D87D}" uniqueName="206" name="application : MAPKEY" queryTableFieldId="206" dataDxfId="131"/>
    <tableColumn id="218" xr3:uid="{22719344-16EF-4493-81E0-826664B1D8C3}" uniqueName="218" name="application : WAIT" queryTableFieldId="218" dataDxfId="130"/>
    <tableColumn id="311" xr3:uid="{D9AEB9DA-246E-4617-BB2F-949287233A89}" uniqueName="311" name="tbl_application : MAPKEY" queryTableFieldId="1076"/>
    <tableColumn id="202" xr3:uid="{E3742598-30C9-4B4A-8539-48E5BFD00C26}" uniqueName="202" name="application : IN_WORKING" queryTableFieldId="202" dataDxfId="129"/>
    <tableColumn id="343" xr3:uid="{8CACFF16-5444-4219-BFCD-3A5AC60DEE88}" uniqueName="343" name="tbl_application : IN_WORKING" queryTableFieldId="1579"/>
    <tableColumn id="203" xr3:uid="{49E56ED4-70A8-4502-8FD5-D7EE93D0ADE7}" uniqueName="203" name="application : IN_WORKING_BOOL" queryTableFieldId="203" dataDxfId="128"/>
    <tableColumn id="326" xr3:uid="{B2D2D60B-C66A-4E2D-A67A-12AEF816A92D}" uniqueName="326" name="tbl_application : LIST_FILES" queryTableFieldId="1319"/>
    <tableColumn id="204" xr3:uid="{E7B2B482-B674-45DB-B031-3BEBA5DA1D6D}" uniqueName="204" name="application : LOG_ERROR" queryTableFieldId="204" dataDxfId="127"/>
    <tableColumn id="205" xr3:uid="{6A80FDCE-4B80-4F86-8B5C-CA78AF4D3645}" uniqueName="205" name="application : LOG_MESSAGE" queryTableFieldId="205" dataDxfId="126"/>
    <tableColumn id="208" xr3:uid="{128E390D-5F53-4CE3-972D-3C98EC2CD874}" uniqueName="208" name="application : REGISTER_CLEAR" queryTableFieldId="208" dataDxfId="125"/>
    <tableColumn id="10" xr3:uid="{AA2185C5-3DBD-4268-8D54-2C57397D526F}" uniqueName="10" name="application : REGISTER_EXISTS" queryTableFieldId="590"/>
    <tableColumn id="210" xr3:uid="{9F0FA108-736E-4BC6-B41C-3931538B7E38}" uniqueName="210" name="application : REGISTER_GET" queryTableFieldId="210" dataDxfId="124"/>
    <tableColumn id="211" xr3:uid="{171E5BB3-9EEF-4CDB-BD34-1CA1B2335B39}" uniqueName="211" name="application : REGISTER_LOG" queryTableFieldId="211" dataDxfId="123"/>
    <tableColumn id="212" xr3:uid="{A39E2458-064A-42EE-9652-E8AAF8679589}" uniqueName="212" name="application : REGISTER_SET" queryTableFieldId="212" dataDxfId="122"/>
    <tableColumn id="213" xr3:uid="{F59A4056-F51C-4DB8-BCAC-DA6F80BA2440}" uniqueName="213" name="application : REGISTER_SUBSTR" queryTableFieldId="213" dataDxfId="121"/>
    <tableColumn id="209" xr3:uid="{52E550CA-0701-4751-A00E-8E4C08F7404F}" uniqueName="209" name="application : REGISTER_VAL_LIKE" queryTableFieldId="573"/>
    <tableColumn id="216" xr3:uid="{E4AB7AC6-BC24-48B9-9B23-D18EB51BC7FB}" uniqueName="216" name="application : STOP_AUTOMATION" queryTableFieldId="216" dataDxfId="120"/>
    <tableColumn id="215" xr3:uid="{7D591DC5-3FCE-479D-8CFF-DE509C3A6642}" uniqueName="215" name="application : STOP_ALERT" queryTableFieldId="215" dataDxfId="119"/>
    <tableColumn id="217" xr3:uid="{874E5D00-7F66-4D52-AEAC-2646446CB6D9}" uniqueName="217" name="application : STOP_EXECUTION" queryTableFieldId="217" dataDxfId="118"/>
    <tableColumn id="197" xr3:uid="{1E82DDD4-BB31-42E8-8403-D800229DDF0C}" uniqueName="197" name="application : ERROR_CATCH_OFF" queryTableFieldId="197" dataDxfId="117"/>
    <tableColumn id="232" xr3:uid="{402BB7FD-23FE-4B2D-AE6A-1FB4085391E4}" uniqueName="232" name="application : ZIP_FILES" queryTableFieldId="232" dataDxfId="116"/>
    <tableColumn id="198" xr3:uid="{AF80F34A-CDAD-4055-AD2B-3DAD3C260E7D}" uniqueName="198" name="application : ERROR_CATCH_ON" queryTableFieldId="198" dataDxfId="115"/>
    <tableColumn id="129" xr3:uid="{BDDBB08C-C133-4D12-A404-13B992A05D47}" uniqueName="129" name="application : WC_CHECKED_OUT" queryTableFieldId="591"/>
    <tableColumn id="220" xr3:uid="{2DC1363B-060E-4BEF-BB97-E3EC4844D29F}" uniqueName="220" name="application : WC_SERVER_EXISTS" queryTableFieldId="220" dataDxfId="114"/>
    <tableColumn id="221" xr3:uid="{60FE5F67-1211-40D0-A6EA-CB35AA6D9D3A}" uniqueName="221" name="application : WC_SERVER_SET" queryTableFieldId="221" dataDxfId="113"/>
    <tableColumn id="222" xr3:uid="{80EFE6D2-45FC-4A5A-B24E-BFCFC8A8782F}" uniqueName="222" name="application : WC_SET_USER" queryTableFieldId="222" dataDxfId="112"/>
    <tableColumn id="223" xr3:uid="{ACB37672-6C1C-48BF-BFE2-5871E70EB9CD}" uniqueName="223" name="application : WC_WS_BCH_APND_LIST_FILES" queryTableFieldId="223" dataDxfId="111"/>
    <tableColumn id="224" xr3:uid="{A93FE209-26B5-4547-AEB7-13CFF8E51997}" uniqueName="224" name="application : WC_WS_BCH_LIST_FILES" queryTableFieldId="224" dataDxfId="110"/>
    <tableColumn id="225" xr3:uid="{7AC634D1-8FAC-47F6-8D0E-2DEA5073F6B0}" uniqueName="225" name="application : WC_WS_CLEAR" queryTableFieldId="225" dataDxfId="109"/>
    <tableColumn id="226" xr3:uid="{630E6DB8-1BA9-47A2-AD65-6FB09E34D260}" uniqueName="226" name="application : WC_WS_CREATE" queryTableFieldId="226" dataDxfId="108"/>
    <tableColumn id="227" xr3:uid="{940273AB-EBD5-4A84-9C06-A9CFB8CD8C0C}" uniqueName="227" name="application : WC_WS_DELETE" queryTableFieldId="227" dataDxfId="107"/>
    <tableColumn id="228" xr3:uid="{83259CF4-0A53-432B-9C0B-002161E094E2}" uniqueName="228" name="application : WC_WS_EXISTS" queryTableFieldId="228" dataDxfId="106"/>
    <tableColumn id="229" xr3:uid="{A58AE2D7-0758-42B8-BD54-38D5978A3150}" uniqueName="229" name="application : WC_WS_FILE_EXISTS_BOOL" queryTableFieldId="229" dataDxfId="105"/>
    <tableColumn id="230" xr3:uid="{8506B1E1-6E72-4DDD-9F5D-C56EDC7E150F}" uniqueName="230" name="application : WC_WS_GET_ACTIVE" queryTableFieldId="230" dataDxfId="104"/>
    <tableColumn id="327" xr3:uid="{CDCB01F9-2002-4F93-95CC-975D7EA4136A}" uniqueName="327" name="tbl_application : WC_WS_LIST_FILES" queryTableFieldId="1320"/>
    <tableColumn id="231" xr3:uid="{1D8956FC-BB53-4E96-99EA-B9B90800C4AA}" uniqueName="231" name="application : WC_WS_SET" queryTableFieldId="231" dataDxfId="103"/>
    <tableColumn id="199" xr3:uid="{FF18EEAE-6A10-41A9-9C7F-06CB630F0E26}" uniqueName="199" name="application : EXIT_APPLICATION" queryTableFieldId="199" dataDxfId="102"/>
    <tableColumn id="122" xr3:uid="{E3E88823-AD70-487E-9EAD-DEE85F51C971}" uniqueName="122" name="note : GET" queryTableFieldId="122" dataDxfId="101"/>
    <tableColumn id="295" xr3:uid="{EF82A6AF-5CC4-4B84-9335-F6ADB42FCF14}" uniqueName="295" name="tbl_note : GET" queryTableFieldId="875"/>
    <tableColumn id="123" xr3:uid="{62D8A149-7210-4689-B819-F145CC051DDF}" uniqueName="123" name="note : GET_APPEND" queryTableFieldId="123" dataDxfId="100"/>
    <tableColumn id="121" xr3:uid="{C02B0156-F06F-436D-A45F-F709E84F960F}" uniqueName="121" name="note : EXISTS" queryTableFieldId="121" dataDxfId="99"/>
    <tableColumn id="351" xr3:uid="{2774F365-9192-4C62-9A61-7471D5E29CD1}" uniqueName="351" name="tbl_note : EXISTS" queryTableFieldId="1595"/>
    <tableColumn id="124" xr3:uid="{61E18B1F-C090-4C43-BCDC-142E633473D9}" uniqueName="124" name="note : SET_CREATE" queryTableFieldId="124" dataDxfId="98"/>
    <tableColumn id="376" xr3:uid="{65161500-E445-4337-B9D6-287E9D1EFD91}" uniqueName="376" name="tbl_note : SET_CREATE" queryTableFieldId="1926"/>
    <tableColumn id="118" xr3:uid="{4960EBC6-BD9E-4337-8B6A-47CBF4485BDF}" uniqueName="118" name="note : DELETE" queryTableFieldId="118" dataDxfId="97"/>
    <tableColumn id="378" xr3:uid="{C5F61ABE-AF25-4322-9845-0469E4172AC4}" uniqueName="378" name="tbl_note : DELETE" queryTableFieldId="1930"/>
    <tableColumn id="119" xr3:uid="{4F06AA60-4955-4405-8A15-D8C118865F17}" uniqueName="119" name="note : DRW_GET_LOC" queryTableFieldId="119" dataDxfId="96"/>
    <tableColumn id="120" xr3:uid="{4F737141-E916-42F2-9B37-0BFC35433F96}" uniqueName="120" name="note : DRW_SET_LOC" queryTableFieldId="120" dataDxfId="95"/>
    <tableColumn id="117" xr3:uid="{3F2B2305-1A22-4825-927A-CDE7E7648ECF}" uniqueName="117" name="note : COPY" queryTableFieldId="117" dataDxfId="94"/>
    <tableColumn id="377" xr3:uid="{2981CD56-F912-436E-855A-9135D68EA1ED}" uniqueName="377" name="tbl_note : COPY" queryTableFieldId="1928"/>
    <tableColumn id="99" xr3:uid="{6E9828F8-E9EB-48F8-8702-35D18D51B92E}" uniqueName="99" name="tbl_feature : GET_TYPE_IDS" queryTableFieldId="2449"/>
    <tableColumn id="254" xr3:uid="{D3159538-482A-40B5-AA10-3DB20F50B102}" uniqueName="254" name="feature : GET_ID" queryTableFieldId="254"/>
    <tableColumn id="369" xr3:uid="{6F4A243C-598A-4704-A022-68D7D41380BB}" uniqueName="369" name="tbl_feature : GET_ID" queryTableFieldId="1912"/>
    <tableColumn id="339" xr3:uid="{A58374F1-C0D1-42D7-A455-5EF3688CC788}" uniqueName="339" name="tbl_feature : GET_NCOUNTS" queryTableFieldId="1346"/>
    <tableColumn id="255" xr3:uid="{E845FFF4-F991-4D46-9174-7731979FC44A}" uniqueName="255" name="feature : NAME_AT_INDEX" queryTableFieldId="255"/>
    <tableColumn id="256" xr3:uid="{00AB23EA-02F5-48B5-AEA8-9CC0EF20D113}" uniqueName="256" name="feature : NAME_EXISTS" queryTableFieldId="256"/>
    <tableColumn id="257" xr3:uid="{04B00A08-1758-404A-9EF1-E613283E6245}" uniqueName="257" name="feature : PARAM_DELETE" queryTableFieldId="257"/>
    <tableColumn id="373" xr3:uid="{CE0C584A-C6D6-47DC-9FAD-F2431334107D}" uniqueName="373" name="tbl_feature : PARAM_DELETE" queryTableFieldId="1920"/>
    <tableColumn id="258" xr3:uid="{B56F7520-17BF-4D7B-90A4-8881319579B5}" uniqueName="258" name="feature : PARAM_EXISTS" queryTableFieldId="258"/>
    <tableColumn id="341" xr3:uid="{B9988A0B-2FFF-4640-BDBF-214504B06E9C}" uniqueName="341" name="tbl_feature : PARAM_EXISTS" queryTableFieldId="1575"/>
    <tableColumn id="260" xr3:uid="{9F0DA098-B548-4A8F-850E-B8E242E88BDE}" uniqueName="260" name="feature : PARAM_GET_APPEND" queryTableFieldId="260"/>
    <tableColumn id="261" xr3:uid="{318DDA02-C25F-4224-8C07-BB759E9DA45A}" uniqueName="261" name="feature : PARAM_GET_TO_ROWS" queryTableFieldId="261"/>
    <tableColumn id="265" xr3:uid="{072D8141-2AD8-4B90-906F-72DCD236B9D0}" uniqueName="265" name="feature : RENAME" queryTableFieldId="265"/>
    <tableColumn id="266" xr3:uid="{315E30BA-7550-4788-8639-909BE56BF563}" uniqueName="266" name="feature : RENAME_GROUP_FEAT" queryTableFieldId="266"/>
    <tableColumn id="267" xr3:uid="{A50527B2-CB88-4B04-9A85-6B5FCA6E41C4}" uniqueName="267" name="feature : RENAME_INDEX" queryTableFieldId="267"/>
    <tableColumn id="268" xr3:uid="{0E5F322A-29BF-4F64-A912-7726ADDD3CA4}" uniqueName="268" name="feature : RENAME_LAST" queryTableFieldId="268"/>
    <tableColumn id="269" xr3:uid="{EF014416-EA1E-44AF-93F0-F8E31B44948A}" uniqueName="269" name="feature : RENAME_PATTERN" queryTableFieldId="269"/>
    <tableColumn id="270" xr3:uid="{F6CB780B-7A78-4114-9AB6-667CEA2418C0}" uniqueName="270" name="feature : RENAME_PATTERN_RANGE" queryTableFieldId="270"/>
    <tableColumn id="271" xr3:uid="{E2FE3C86-C8A8-4A7E-8B81-9F2947A00205}" uniqueName="271" name="feature : RENAME_TYPE" queryTableFieldId="271"/>
    <tableColumn id="248" xr3:uid="{5E430ECD-8C13-436F-BB6D-A333FF8CD0F9}" uniqueName="248" name="feature : GET_APPEND_COUNTS" queryTableFieldId="248"/>
    <tableColumn id="249" xr3:uid="{ABFA1661-1366-4CDE-851D-904554343B1C}" uniqueName="249" name="feature : GET_APPEND_FLATDATA" queryTableFieldId="249"/>
    <tableColumn id="250" xr3:uid="{60C736D0-67D1-45EC-A6C8-11F9503F734B}" uniqueName="250" name="feature : GET_APPEND_FLATSUM" queryTableFieldId="250"/>
    <tableColumn id="251" xr3:uid="{7CAE8260-1CE2-43A0-9F83-4064C7DA63E6}" uniqueName="251" name="feature : GET_APPEND_NCOUNTS" queryTableFieldId="251"/>
    <tableColumn id="336" xr3:uid="{8A3BB8A1-0697-4E54-9AAF-4B4B0D5E3755}" uniqueName="336" name="tbl_feature : GET_COUNTS" queryTableFieldId="1340"/>
    <tableColumn id="337" xr3:uid="{01643B23-D3AF-4689-99BE-C0ACA84CFB1F}" uniqueName="337" name="tbl_feature : GET_FLATDATA" queryTableFieldId="1342"/>
    <tableColumn id="338" xr3:uid="{9827CDC1-D998-4EFD-B63B-5EDD9CDB12C3}" uniqueName="338" name="tbl_feature : GET_FLATSUM" queryTableFieldId="1344"/>
    <tableColumn id="252" xr3:uid="{91CB1D7B-5538-4424-8E35-35D0C18BC393}" uniqueName="252" name="feature : GET_FLATSUM_LENGTH" queryTableFieldId="252"/>
    <tableColumn id="207" xr3:uid="{72ECBDAC-9408-49BD-B9D0-D02C4F702ED1}" uniqueName="207" name="tbl_feature : GET_FLATSUM_LENGTH" queryTableFieldId="903"/>
    <tableColumn id="259" xr3:uid="{957432EF-6A54-4D58-A9A2-02DC7D95E7F5}" uniqueName="259" name="feature : PARAM_GET" queryTableFieldId="259"/>
    <tableColumn id="253" xr3:uid="{68826872-88DD-404C-81C9-78A1B50BEBD4}" uniqueName="253" name="feature : GET_FLATSUM_PROFILES" queryTableFieldId="253"/>
    <tableColumn id="214" xr3:uid="{CE23B553-2E74-4FBF-A3A5-814BE4127D23}" uniqueName="214" name="tbl_feature : GET_FLATSUM_PROFILES" queryTableFieldId="904"/>
    <tableColumn id="340" xr3:uid="{EFAE69DB-7CD2-4333-B7FA-BDA4406519BC}" uniqueName="340" name="tbl_feature : PARAM_GET" queryTableFieldId="1348"/>
    <tableColumn id="262" xr3:uid="{B835C3B0-C6D1-49A8-86B5-9CBAD6DA4C06}" uniqueName="262" name="feature : PARAM_GET_TO_ROWS_TYPES" queryTableFieldId="262"/>
    <tableColumn id="219" xr3:uid="{4D14513C-B244-42A5-A2A7-033B06E8E0E1}" uniqueName="219" name="tbl_feature : PARAM_GET_TYPES" queryTableFieldId="905"/>
    <tableColumn id="264" xr3:uid="{7CDBF94A-FB5F-4946-ADFF-144EEA8159D6}" uniqueName="264" name="feature : PARAM_SET_CREATE" queryTableFieldId="264"/>
    <tableColumn id="375" xr3:uid="{609E41C2-EEFB-449F-A188-E19EA499376A}" uniqueName="375" name="tbl_feature : PARAM_SET_CREATE" queryTableFieldId="1924"/>
    <tableColumn id="263" xr3:uid="{589D29E9-51CB-4680-BCB7-40DF93C92614}" uniqueName="263" name="feature : PARAM_SET" queryTableFieldId="263"/>
    <tableColumn id="374" xr3:uid="{AAE3F935-390F-44B1-86B6-A020324D796C}" uniqueName="374" name="tbl_feature : PARAM_SET" queryTableFieldId="1922"/>
    <tableColumn id="104" xr3:uid="{6EA2734A-D528-45F6-BC2F-8AF1CF1D1DB4}" uniqueName="104" name="feature : RESUME" queryTableFieldId="104" dataDxfId="93"/>
    <tableColumn id="371" xr3:uid="{628F2BC6-1BDE-497E-BDF0-7E299CEAB11A}" uniqueName="371" name="tbl_feature : RESUME" queryTableFieldId="1916"/>
    <tableColumn id="102" xr3:uid="{7FB99F3C-AB53-49E2-A388-B7D8DA3BF403}" uniqueName="102" name="feature : DELETE" queryTableFieldId="102" dataDxfId="92"/>
    <tableColumn id="368" xr3:uid="{09F341EA-1FE3-482D-B4AA-8232E1163D3F}" uniqueName="368" name="tbl_feature : DELETE" queryTableFieldId="1910"/>
    <tableColumn id="106" xr3:uid="{73AF086F-6894-4C8B-BA7E-A64F7FE2638D}" uniqueName="106" name="feature : SUPPRESS" queryTableFieldId="106" dataDxfId="91"/>
    <tableColumn id="367" xr3:uid="{232DB12E-EB92-4212-9E63-C9D949DD8A25}" uniqueName="367" name="tbl_feature : SUPPRESS" queryTableFieldId="1634"/>
    <tableColumn id="105" xr3:uid="{9F5E4DC5-5B01-49AF-B031-BDA1DBB57356}" uniqueName="105" name="feature : RESUME_CHILDREN" queryTableFieldId="105" dataDxfId="90"/>
    <tableColumn id="372" xr3:uid="{4E83DD50-5472-44AC-89AF-2003BC394250}" uniqueName="372" name="tbl_feature : RESUME_CHILDREN" queryTableFieldId="1918"/>
    <tableColumn id="273" xr3:uid="{4B8D8602-9332-4214-A22D-1018DBD66C46}" uniqueName="273" name="feature : TYPE_EXISTS" queryTableFieldId="273"/>
    <tableColumn id="344" xr3:uid="{C698BE05-E193-43AA-846B-9D0D748CBEE7}" uniqueName="344" name="tbl_feature : TYPE_EXISTS" queryTableFieldId="1581"/>
    <tableColumn id="272" xr3:uid="{EF37FF7D-1F1F-46B5-A646-3233140DFAA5}" uniqueName="272" name="feature : SUPPRESS_TYPE" queryTableFieldId="272"/>
    <tableColumn id="370" xr3:uid="{00F29995-C0B4-4CF5-9A22-21AA5EEB1E12}" uniqueName="370" name="tbl_feature : SUPPRESS_TYPE" queryTableFieldId="1914"/>
    <tableColumn id="103" xr3:uid="{DC75F25B-DA7A-4F3A-BA46-4B404A405A8C}" uniqueName="103" name="feature : GET_STATE" queryTableFieldId="103" dataDxfId="89"/>
    <tableColumn id="363" xr3:uid="{1F492714-C4E9-4C7B-A592-814DFB68236F}" uniqueName="363" name="tbl_feature : GET_STATE" queryTableFieldId="1628"/>
    <tableColumn id="366" xr3:uid="{E3EF6995-C8FB-41B0-9F03-84F349CD6C58}" uniqueName="366" name="worksheet : AUTOFIT" queryTableFieldId="1630"/>
    <tableColumn id="125" xr3:uid="{25C28220-CCD9-488E-8F0C-5BE6378790F6}" uniqueName="125" name="worksheet : APPEND_ROW" queryTableFieldId="125" dataDxfId="88"/>
    <tableColumn id="387" xr3:uid="{18E9DE71-636F-4E68-ADF4-81981B4048D6}" uniqueName="387" name="worksheet : CLEAR_XLS_TABLE" queryTableFieldId="1948"/>
    <tableColumn id="130" xr3:uid="{8691AAB0-757E-4D08-83E8-2A64FD538134}" uniqueName="130" name="worksheet : COPY_RANGE" queryTableFieldId="130" dataDxfId="87"/>
    <tableColumn id="131" xr3:uid="{D9F0EF93-10E8-46F5-BFB7-A3A5BE2FB87D}" uniqueName="131" name="worksheet : COPY_RANGE_VAL" queryTableFieldId="131" dataDxfId="86"/>
    <tableColumn id="134" xr3:uid="{77C4F95E-DB07-4CD2-B241-E3122E814A30}" uniqueName="134" name="worksheet : DUPLICATE" queryTableFieldId="134" dataDxfId="85"/>
    <tableColumn id="286" xr3:uid="{BBDD8BEB-AE41-426C-A1E9-0D3AAA6BD6A8}" uniqueName="286" name="worksheet : TABLE_CREATE" queryTableFieldId="533"/>
    <tableColumn id="161" xr3:uid="{AAE964AF-D094-45E1-A80D-7C366655B5E1}" uniqueName="161" name="worksheet : REFRESH_ALL" queryTableFieldId="161" dataDxfId="84"/>
    <tableColumn id="301" xr3:uid="{8E6BFC80-08C3-49E5-A07F-B31C2C3E4006}" uniqueName="301" name="worksheet : TABLE_EXISTS_BOOL" queryTableFieldId="566"/>
    <tableColumn id="290" xr3:uid="{4EDA5E22-9B2F-4AAE-A5B6-DCACBB822551}" uniqueName="290" name="worksheet : TABLE_CLEAR" queryTableFieldId="539"/>
    <tableColumn id="287" xr3:uid="{EEB38155-44DE-4B50-A6F4-0F8DE6266B08}" uniqueName="287" name="worksheet : TABLE_DELETE" queryTableFieldId="534"/>
    <tableColumn id="297" xr3:uid="{B198BB49-5AC6-40A2-A234-DF0AC2672116}" uniqueName="297" name="worksheet : EXPORT_TABLE_AS_CSV" queryTableFieldId="922"/>
    <tableColumn id="389" xr3:uid="{C8B20272-5129-4C5B-A175-041ECF205D99}" uniqueName="389" name="worksheet : MACRO_RUN_WORKBOOK" queryTableFieldId="2305"/>
    <tableColumn id="390" xr3:uid="{00C8BD05-4938-4126-BA14-A73324C0C382}" uniqueName="390" name="worksheet : MACRO_RUN_APPLICATION" queryTableFieldId="2306"/>
    <tableColumn id="126" xr3:uid="{D83674C5-D3E5-4638-ABD0-0CEDA913FA96}" uniqueName="126" name="worksheet : CLEAR_BATCHSHEET" queryTableFieldId="126" dataDxfId="83"/>
    <tableColumn id="127" xr3:uid="{F5CFC9B3-76FE-47B7-9DB4-04623CC760E1}" uniqueName="127" name="worksheet : CLEAR_DATASHEET" queryTableFieldId="127" dataDxfId="82"/>
    <tableColumn id="128" xr3:uid="{8D9B72BF-7D8E-4D06-B521-74B4C36DBBE8}" uniqueName="128" name="worksheet : CLEAR_RANGE" queryTableFieldId="128" dataDxfId="81"/>
    <tableColumn id="308" xr3:uid="{2CD30856-8954-48A0-9966-14D1EF8A49D5}" uniqueName="308" name="worksheet : PIVOT_ADD_CNTFIELD" queryTableFieldId="923"/>
    <tableColumn id="150" xr3:uid="{6A61BFAB-5583-464C-870D-7BB662753C8B}" uniqueName="150" name="worksheet : PIVOT_ADD_PVTFIELD" queryTableFieldId="150" dataDxfId="80"/>
    <tableColumn id="151" xr3:uid="{B4FB7F20-8EFD-44DA-96F7-BD81325D3360}" uniqueName="151" name="worksheet : PIVOT_ADD_SUMFIELD" queryTableFieldId="151" dataDxfId="79"/>
    <tableColumn id="152" xr3:uid="{DC5E7DC7-7FC1-4619-8BF4-AACAC1FEC211}" uniqueName="152" name="worksheet : PIVOT_CREATE" queryTableFieldId="152" dataDxfId="78"/>
    <tableColumn id="153" xr3:uid="{08915D94-0E73-47E8-9572-50DA389A2597}" uniqueName="153" name="worksheet : PIVOT_DELETE" queryTableFieldId="153" dataDxfId="77"/>
    <tableColumn id="386" xr3:uid="{82160683-CB2C-41D5-83AE-47E4295CA288}" uniqueName="386" name="worksheet : CREATE" queryTableFieldId="1946"/>
    <tableColumn id="154" xr3:uid="{A13AF289-A932-4A06-BAF3-8E6CFF6934B1}" uniqueName="154" name="worksheet : PIVOT_DELETE_PVTFIELD" queryTableFieldId="154" dataDxfId="76"/>
    <tableColumn id="155" xr3:uid="{5A14007F-63FE-43CE-86E6-DAEF93488FA8}" uniqueName="155" name="worksheet : PIVOT_EXISTS" queryTableFieldId="155" dataDxfId="75"/>
    <tableColumn id="156" xr3:uid="{6475EB9C-C314-4589-B21C-E4D5C693C2DE}" uniqueName="156" name="worksheet : PIVOT_FIELD_EXISTS" queryTableFieldId="156" dataDxfId="74"/>
    <tableColumn id="157" xr3:uid="{C8DE95C0-E605-49BA-B6F4-64B744FE5BFF}" uniqueName="157" name="worksheet : PIVOT_FIELD_VISIBLE" queryTableFieldId="157" dataDxfId="73"/>
    <tableColumn id="158" xr3:uid="{904496B7-3628-48C2-901D-A9C7F0494345}" uniqueName="158" name="worksheet : PIVOT_FORMAT_VALFIELD" queryTableFieldId="158" dataDxfId="72"/>
    <tableColumn id="159" xr3:uid="{EBC9927E-C0F4-42A5-A3BE-DD33621AA357}" uniqueName="159" name="worksheet : PIVOT_SET_TARGET" queryTableFieldId="159" dataDxfId="71"/>
    <tableColumn id="160" xr3:uid="{37CC92CD-1975-4B73-AF94-0BCF2780910B}" uniqueName="160" name="worksheet : PIVOT_UPDATE" queryTableFieldId="160" dataDxfId="70"/>
    <tableColumn id="135" xr3:uid="{A79D8B82-E0A7-41E0-A571-2A8F8D32D685}" uniqueName="135" name="worksheet : EXECTAB" queryTableFieldId="135" dataDxfId="69"/>
    <tableColumn id="306" xr3:uid="{2C994088-9073-483A-9E58-63DF5BAFFF4E}" uniqueName="306" name="worksheet : PQ_CONN_CREATE" queryTableFieldId="884"/>
    <tableColumn id="307" xr3:uid="{570BA88E-8EB0-4D89-8FAF-6108C9355054}" uniqueName="307" name="worksheet : PQ_CONN_DELETE" queryTableFieldId="885"/>
    <tableColumn id="309" xr3:uid="{77AEFAC1-DF0E-4C72-87B7-FE5CBF721293}" uniqueName="309" name="worksheet : PQ_CONN_EXISTS_BOOL" queryTableFieldId="924"/>
    <tableColumn id="162" xr3:uid="{5C6CD175-DA66-4163-9A98-BAFC4808C56B}" uniqueName="162" name="worksheet : SELECT" queryTableFieldId="162" dataDxfId="68"/>
    <tableColumn id="163" xr3:uid="{7B0DE85E-8D0A-4D98-B48A-19635D4F36F5}" uniqueName="163" name="worksheet : SELECT_CELL" queryTableFieldId="163" dataDxfId="67"/>
    <tableColumn id="164" xr3:uid="{9F05D1D4-29F4-4A8B-B0FB-05E7039E0041}" uniqueName="164" name="worksheet : SEND_NO_REGEN" queryTableFieldId="164" dataDxfId="66"/>
    <tableColumn id="165" xr3:uid="{4DCB7E32-A660-4765-BE79-8F11C2D12568}" uniqueName="165" name="worksheet : SEND_RESULTS" queryTableFieldId="165" dataDxfId="65"/>
    <tableColumn id="166" xr3:uid="{6D6BB299-142B-4495-840D-BB49D1022F7D}" uniqueName="166" name="worksheet : SET_VALUE" queryTableFieldId="166" dataDxfId="64"/>
    <tableColumn id="167" xr3:uid="{610ED158-2818-4B54-8129-041182EC7EA9}" uniqueName="167" name="worksheet : SHEETNAME_EXISTS" queryTableFieldId="167" dataDxfId="63"/>
    <tableColumn id="137" xr3:uid="{C23CA361-7EC0-4386-B6EA-56B3F7335214}" uniqueName="137" name="worksheet : GET_COL_COUNT" queryTableFieldId="137" dataDxfId="62"/>
    <tableColumn id="138" xr3:uid="{01F7B3AA-C206-4535-99F2-6D8FDB40B8A9}" uniqueName="138" name="worksheet : GET_COL_COUNTA" queryTableFieldId="138" dataDxfId="61"/>
    <tableColumn id="139" xr3:uid="{F16FF6C0-1C1F-4750-B786-E66379F35732}" uniqueName="139" name="worksheet : GET_COL_MAX" queryTableFieldId="139" dataDxfId="60"/>
    <tableColumn id="140" xr3:uid="{5606C4E2-9C25-4F62-9F95-F62D82CD62D8}" uniqueName="140" name="worksheet : GET_COL_MIN" queryTableFieldId="140" dataDxfId="59"/>
    <tableColumn id="141" xr3:uid="{7802637C-A617-4ED6-8711-2CA989445375}" uniqueName="141" name="worksheet : GET_COL_NEXT" queryTableFieldId="141" dataDxfId="58"/>
    <tableColumn id="142" xr3:uid="{612FAEA9-9D06-487E-AD67-CCDC3D8CB62E}" uniqueName="142" name="worksheet : GET_CURRENT" queryTableFieldId="142" dataDxfId="57"/>
    <tableColumn id="143" xr3:uid="{6F22B228-189F-4A19-B86F-EA854C51A04D}" uniqueName="143" name="worksheet : GET_ROW_COUNT" queryTableFieldId="143" dataDxfId="56"/>
    <tableColumn id="144" xr3:uid="{7325CB76-2965-4DF4-8DE7-AA8494DDC4FB}" uniqueName="144" name="worksheet : GET_ROW_COUNTA" queryTableFieldId="144" dataDxfId="55"/>
    <tableColumn id="145" xr3:uid="{A4C9EEB9-46A3-445B-B778-FA5FB06206ED}" uniqueName="145" name="worksheet : GET_ROW_MAX" queryTableFieldId="145" dataDxfId="54"/>
    <tableColumn id="146" xr3:uid="{60C125E1-4BDF-4427-AC3A-8CB7471DE4BB}" uniqueName="146" name="worksheet : GET_ROW_MIN" queryTableFieldId="146" dataDxfId="53"/>
    <tableColumn id="147" xr3:uid="{628CABDB-FE97-440C-9ACF-5334BB805830}" uniqueName="147" name="worksheet : GET_ROW_NEXT" queryTableFieldId="147" dataDxfId="52"/>
    <tableColumn id="168" xr3:uid="{138B15E3-1C84-403E-B357-611D572F363C}" uniqueName="168" name="worksheet : WRITE_FORMULAS" queryTableFieldId="168" dataDxfId="51"/>
    <tableColumn id="136" xr3:uid="{75D603C0-B001-4C92-9A1B-59C468281EB9}" uniqueName="136" name="worksheet : EXPORT_PROTABLE" queryTableFieldId="136" dataDxfId="50"/>
    <tableColumn id="132" xr3:uid="{509EA236-CDEB-4A50-9486-ABB9BDB3A901}" uniqueName="132" name="worksheet : DELETE" queryTableFieldId="132" dataDxfId="49"/>
    <tableColumn id="133" xr3:uid="{77F51BEF-E740-44A0-8A60-9ABEDF71475C}" uniqueName="133" name="worksheet : DELETE_RANGE" queryTableFieldId="133" dataDxfId="48"/>
    <tableColumn id="148" xr3:uid="{0B490415-DDEE-48EA-8942-2FDDBAEF4A7E}" uniqueName="148" name="worksheet : LOOP_WORKSHEET_UNTIL" queryTableFieldId="148" dataDxfId="47"/>
    <tableColumn id="235" xr3:uid="{09C2A8AE-9AA7-4682-9676-14170B48F5AF}" uniqueName="235" name="release : CLEAR_NITRO_RELEASE_NAMES" queryTableFieldId="235" dataDxfId="46"/>
    <tableColumn id="245" xr3:uid="{5E8D141B-A2F4-499F-B6C8-E64945354341}" uniqueName="245" name="release : SET_NITRO_RELEASE_DIR" queryTableFieldId="245" dataDxfId="45"/>
    <tableColumn id="236" xr3:uid="{21EF4083-9740-4939-9E0F-5B2923EE509B}" uniqueName="236" name="release : CLEAR_NITRO_SET_VARS" queryTableFieldId="236" dataDxfId="44"/>
    <tableColumn id="240" xr3:uid="{60D782C7-6674-40F4-973C-7DCBC8998D9D}" uniqueName="240" name="release : NITRO_RELEASE" queryTableFieldId="240" dataDxfId="43"/>
    <tableColumn id="234" xr3:uid="{B9E10AAC-F692-499C-BD9C-355151F5D99A}" uniqueName="234" name="release : CHANGE_TO" queryTableFieldId="234" dataDxfId="42"/>
    <tableColumn id="241" xr3:uid="{5ABFF869-BE12-4829-8716-5A65DA12F657}" uniqueName="241" name="release : PURGE_RELEASED" queryTableFieldId="241" dataDxfId="41"/>
    <tableColumn id="246" xr3:uid="{BBED463C-A4B8-4D8C-A35A-357CF34FB544}" uniqueName="246" name="release : SET_NITRO_RELEASE_NAME" queryTableFieldId="246" dataDxfId="40"/>
    <tableColumn id="238" xr3:uid="{23517BE3-38F5-47FA-802F-CF5F849FDBC6}" uniqueName="238" name="release : IN_RELEASE" queryTableFieldId="238" dataDxfId="39"/>
    <tableColumn id="239" xr3:uid="{DB3B5ED0-14B7-4CC1-B392-9945CC3485C4}" uniqueName="239" name="release : IN_RELEASE_BOOL" queryTableFieldId="239" dataDxfId="38"/>
    <tableColumn id="237" xr3:uid="{42F3A421-801E-4D59-B613-1FBE284125FD}" uniqueName="237" name="release : DELETE_RELEASED_FILE" queryTableFieldId="237" dataDxfId="37"/>
    <tableColumn id="247" xr3:uid="{70686A0A-2571-4AEA-8FB1-153CEE24E22C}" uniqueName="247" name="release : SET_NITRO_SAVE" queryTableFieldId="247" dataDxfId="36"/>
    <tableColumn id="244" xr3:uid="{50F2DEF6-386D-4970-8E09-D8EFCEC91B24}" uniqueName="244" name="release : SET_NITRO_KEEP_RELS" queryTableFieldId="244" dataDxfId="35"/>
    <tableColumn id="243" xr3:uid="{9B4A7EAB-A72E-4F9F-AD47-754B9D9B4DA6}" uniqueName="243" name="release : SET_NITRO_KEEP_FEAT" queryTableFieldId="243" dataDxfId="34"/>
    <tableColumn id="242" xr3:uid="{EE0B3D69-248B-4033-870D-2AFC844ABC21}" uniqueName="242" name="release : SET_NITRO_KEEP_COMP" queryTableFieldId="242" dataDxfId="33"/>
    <tableColumn id="233" xr3:uid="{6C6ED99D-6886-48AB-81B6-BEF8C0259778}" uniqueName="233" name="release : BACKUP_EXCEL" queryTableFieldId="233" dataDxf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D098AF6-9667-4099-B672-B2FF72EBDB4A}">
  <we:reference id="wa104381147" version="1.0.7.0" store="en-US" storeType="OMEX"/>
  <we:alternateReferences>
    <we:reference id="wa104381147" version="1.0.7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s://www.youtube.com/watch?v=jkzmYIxmCX4" TargetMode="External"/><Relationship Id="rId1" Type="http://schemas.openxmlformats.org/officeDocument/2006/relationships/hyperlink" Target="http://youtu.be/LozbfsxkgkQ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hyperlink" Target="https://www.youtube.com/watch?v=jkzmYIxmCX4" TargetMode="External"/><Relationship Id="rId1" Type="http://schemas.openxmlformats.org/officeDocument/2006/relationships/hyperlink" Target="http://youtu.be/LozbfsxkgkQ" TargetMode="Externa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youtu.be/LozbfsxkgkQ" TargetMode="External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C5D8-2CBF-4CFC-9C2B-D9D589FFE0D0}">
  <dimension ref="A1:C12"/>
  <sheetViews>
    <sheetView workbookViewId="0">
      <pane ySplit="9" topLeftCell="A10" activePane="bottomLeft" state="frozen"/>
      <selection pane="bottomLeft" activeCell="A11" sqref="A11"/>
    </sheetView>
  </sheetViews>
  <sheetFormatPr defaultRowHeight="15"/>
  <cols>
    <col min="1" max="1" width="9.140625" style="15" customWidth="1"/>
    <col min="2" max="2" width="50.28515625" customWidth="1"/>
    <col min="3" max="3" width="49.5703125" customWidth="1"/>
    <col min="258" max="258" width="50.28515625" customWidth="1"/>
    <col min="259" max="259" width="49.5703125" customWidth="1"/>
    <col min="514" max="514" width="50.28515625" customWidth="1"/>
    <col min="515" max="515" width="49.5703125" customWidth="1"/>
    <col min="770" max="770" width="50.28515625" customWidth="1"/>
    <col min="771" max="771" width="49.5703125" customWidth="1"/>
    <col min="1026" max="1026" width="50.28515625" customWidth="1"/>
    <col min="1027" max="1027" width="49.5703125" customWidth="1"/>
    <col min="1282" max="1282" width="50.28515625" customWidth="1"/>
    <col min="1283" max="1283" width="49.5703125" customWidth="1"/>
    <col min="1538" max="1538" width="50.28515625" customWidth="1"/>
    <col min="1539" max="1539" width="49.5703125" customWidth="1"/>
    <col min="1794" max="1794" width="50.28515625" customWidth="1"/>
    <col min="1795" max="1795" width="49.5703125" customWidth="1"/>
    <col min="2050" max="2050" width="50.28515625" customWidth="1"/>
    <col min="2051" max="2051" width="49.5703125" customWidth="1"/>
    <col min="2306" max="2306" width="50.28515625" customWidth="1"/>
    <col min="2307" max="2307" width="49.5703125" customWidth="1"/>
    <col min="2562" max="2562" width="50.28515625" customWidth="1"/>
    <col min="2563" max="2563" width="49.5703125" customWidth="1"/>
    <col min="2818" max="2818" width="50.28515625" customWidth="1"/>
    <col min="2819" max="2819" width="49.5703125" customWidth="1"/>
    <col min="3074" max="3074" width="50.28515625" customWidth="1"/>
    <col min="3075" max="3075" width="49.5703125" customWidth="1"/>
    <col min="3330" max="3330" width="50.28515625" customWidth="1"/>
    <col min="3331" max="3331" width="49.5703125" customWidth="1"/>
    <col min="3586" max="3586" width="50.28515625" customWidth="1"/>
    <col min="3587" max="3587" width="49.5703125" customWidth="1"/>
    <col min="3842" max="3842" width="50.28515625" customWidth="1"/>
    <col min="3843" max="3843" width="49.5703125" customWidth="1"/>
    <col min="4098" max="4098" width="50.28515625" customWidth="1"/>
    <col min="4099" max="4099" width="49.5703125" customWidth="1"/>
    <col min="4354" max="4354" width="50.28515625" customWidth="1"/>
    <col min="4355" max="4355" width="49.5703125" customWidth="1"/>
    <col min="4610" max="4610" width="50.28515625" customWidth="1"/>
    <col min="4611" max="4611" width="49.5703125" customWidth="1"/>
    <col min="4866" max="4866" width="50.28515625" customWidth="1"/>
    <col min="4867" max="4867" width="49.5703125" customWidth="1"/>
    <col min="5122" max="5122" width="50.28515625" customWidth="1"/>
    <col min="5123" max="5123" width="49.5703125" customWidth="1"/>
    <col min="5378" max="5378" width="50.28515625" customWidth="1"/>
    <col min="5379" max="5379" width="49.5703125" customWidth="1"/>
    <col min="5634" max="5634" width="50.28515625" customWidth="1"/>
    <col min="5635" max="5635" width="49.5703125" customWidth="1"/>
    <col min="5890" max="5890" width="50.28515625" customWidth="1"/>
    <col min="5891" max="5891" width="49.5703125" customWidth="1"/>
    <col min="6146" max="6146" width="50.28515625" customWidth="1"/>
    <col min="6147" max="6147" width="49.5703125" customWidth="1"/>
    <col min="6402" max="6402" width="50.28515625" customWidth="1"/>
    <col min="6403" max="6403" width="49.5703125" customWidth="1"/>
    <col min="6658" max="6658" width="50.28515625" customWidth="1"/>
    <col min="6659" max="6659" width="49.5703125" customWidth="1"/>
    <col min="6914" max="6914" width="50.28515625" customWidth="1"/>
    <col min="6915" max="6915" width="49.5703125" customWidth="1"/>
    <col min="7170" max="7170" width="50.28515625" customWidth="1"/>
    <col min="7171" max="7171" width="49.5703125" customWidth="1"/>
    <col min="7426" max="7426" width="50.28515625" customWidth="1"/>
    <col min="7427" max="7427" width="49.5703125" customWidth="1"/>
    <col min="7682" max="7682" width="50.28515625" customWidth="1"/>
    <col min="7683" max="7683" width="49.5703125" customWidth="1"/>
    <col min="7938" max="7938" width="50.28515625" customWidth="1"/>
    <col min="7939" max="7939" width="49.5703125" customWidth="1"/>
    <col min="8194" max="8194" width="50.28515625" customWidth="1"/>
    <col min="8195" max="8195" width="49.5703125" customWidth="1"/>
    <col min="8450" max="8450" width="50.28515625" customWidth="1"/>
    <col min="8451" max="8451" width="49.5703125" customWidth="1"/>
    <col min="8706" max="8706" width="50.28515625" customWidth="1"/>
    <col min="8707" max="8707" width="49.5703125" customWidth="1"/>
    <col min="8962" max="8962" width="50.28515625" customWidth="1"/>
    <col min="8963" max="8963" width="49.5703125" customWidth="1"/>
    <col min="9218" max="9218" width="50.28515625" customWidth="1"/>
    <col min="9219" max="9219" width="49.5703125" customWidth="1"/>
    <col min="9474" max="9474" width="50.28515625" customWidth="1"/>
    <col min="9475" max="9475" width="49.5703125" customWidth="1"/>
    <col min="9730" max="9730" width="50.28515625" customWidth="1"/>
    <col min="9731" max="9731" width="49.5703125" customWidth="1"/>
    <col min="9986" max="9986" width="50.28515625" customWidth="1"/>
    <col min="9987" max="9987" width="49.5703125" customWidth="1"/>
    <col min="10242" max="10242" width="50.28515625" customWidth="1"/>
    <col min="10243" max="10243" width="49.5703125" customWidth="1"/>
    <col min="10498" max="10498" width="50.28515625" customWidth="1"/>
    <col min="10499" max="10499" width="49.5703125" customWidth="1"/>
    <col min="10754" max="10754" width="50.28515625" customWidth="1"/>
    <col min="10755" max="10755" width="49.5703125" customWidth="1"/>
    <col min="11010" max="11010" width="50.28515625" customWidth="1"/>
    <col min="11011" max="11011" width="49.5703125" customWidth="1"/>
    <col min="11266" max="11266" width="50.28515625" customWidth="1"/>
    <col min="11267" max="11267" width="49.5703125" customWidth="1"/>
    <col min="11522" max="11522" width="50.28515625" customWidth="1"/>
    <col min="11523" max="11523" width="49.5703125" customWidth="1"/>
    <col min="11778" max="11778" width="50.28515625" customWidth="1"/>
    <col min="11779" max="11779" width="49.5703125" customWidth="1"/>
    <col min="12034" max="12034" width="50.28515625" customWidth="1"/>
    <col min="12035" max="12035" width="49.5703125" customWidth="1"/>
    <col min="12290" max="12290" width="50.28515625" customWidth="1"/>
    <col min="12291" max="12291" width="49.5703125" customWidth="1"/>
    <col min="12546" max="12546" width="50.28515625" customWidth="1"/>
    <col min="12547" max="12547" width="49.5703125" customWidth="1"/>
    <col min="12802" max="12802" width="50.28515625" customWidth="1"/>
    <col min="12803" max="12803" width="49.5703125" customWidth="1"/>
    <col min="13058" max="13058" width="50.28515625" customWidth="1"/>
    <col min="13059" max="13059" width="49.5703125" customWidth="1"/>
    <col min="13314" max="13314" width="50.28515625" customWidth="1"/>
    <col min="13315" max="13315" width="49.5703125" customWidth="1"/>
    <col min="13570" max="13570" width="50.28515625" customWidth="1"/>
    <col min="13571" max="13571" width="49.5703125" customWidth="1"/>
    <col min="13826" max="13826" width="50.28515625" customWidth="1"/>
    <col min="13827" max="13827" width="49.5703125" customWidth="1"/>
    <col min="14082" max="14082" width="50.28515625" customWidth="1"/>
    <col min="14083" max="14083" width="49.5703125" customWidth="1"/>
    <col min="14338" max="14338" width="50.28515625" customWidth="1"/>
    <col min="14339" max="14339" width="49.5703125" customWidth="1"/>
    <col min="14594" max="14594" width="50.28515625" customWidth="1"/>
    <col min="14595" max="14595" width="49.5703125" customWidth="1"/>
    <col min="14850" max="14850" width="50.28515625" customWidth="1"/>
    <col min="14851" max="14851" width="49.5703125" customWidth="1"/>
    <col min="15106" max="15106" width="50.28515625" customWidth="1"/>
    <col min="15107" max="15107" width="49.5703125" customWidth="1"/>
    <col min="15362" max="15362" width="50.28515625" customWidth="1"/>
    <col min="15363" max="15363" width="49.5703125" customWidth="1"/>
    <col min="15618" max="15618" width="50.28515625" customWidth="1"/>
    <col min="15619" max="15619" width="49.5703125" customWidth="1"/>
    <col min="15874" max="15874" width="50.28515625" customWidth="1"/>
    <col min="15875" max="15875" width="49.5703125" customWidth="1"/>
    <col min="16130" max="16130" width="50.28515625" customWidth="1"/>
    <col min="16131" max="16131" width="49.5703125" customWidth="1"/>
  </cols>
  <sheetData>
    <row r="1" spans="1:3" s="3" customFormat="1" ht="30">
      <c r="A1" s="1"/>
      <c r="B1" s="2" t="s">
        <v>223</v>
      </c>
    </row>
    <row r="2" spans="1:3" s="6" customFormat="1">
      <c r="A2" s="4"/>
      <c r="B2" s="5" t="s">
        <v>1323</v>
      </c>
    </row>
    <row r="3" spans="1:3" s="8" customFormat="1">
      <c r="A3" s="7"/>
    </row>
    <row r="4" spans="1:3" s="8" customFormat="1">
      <c r="A4" s="9"/>
      <c r="B4" s="10" t="s">
        <v>224</v>
      </c>
    </row>
    <row r="5" spans="1:3" s="8" customFormat="1">
      <c r="A5" s="9"/>
      <c r="B5" s="10" t="s">
        <v>225</v>
      </c>
    </row>
    <row r="6" spans="1:3" s="8" customFormat="1">
      <c r="A6" s="9"/>
      <c r="B6" s="10" t="s">
        <v>226</v>
      </c>
    </row>
    <row r="7" spans="1:3" s="8" customFormat="1">
      <c r="A7" s="9"/>
      <c r="B7" s="10" t="s">
        <v>227</v>
      </c>
    </row>
    <row r="8" spans="1:3" s="8" customFormat="1">
      <c r="A8" s="9"/>
    </row>
    <row r="9" spans="1:3" s="13" customFormat="1">
      <c r="A9" s="11" t="s">
        <v>228</v>
      </c>
      <c r="B9" s="12" t="s">
        <v>229</v>
      </c>
      <c r="C9" s="12" t="s">
        <v>230</v>
      </c>
    </row>
    <row r="10" spans="1:3">
      <c r="A10" s="20"/>
      <c r="B10" s="14"/>
      <c r="C10" s="14"/>
    </row>
    <row r="11" spans="1:3">
      <c r="A11" s="20"/>
      <c r="B11" s="14"/>
      <c r="C11" s="14"/>
    </row>
    <row r="12" spans="1:3">
      <c r="B12" t="s">
        <v>1324</v>
      </c>
      <c r="C12" t="s">
        <v>1325</v>
      </c>
    </row>
  </sheetData>
  <conditionalFormatting sqref="A10:A11">
    <cfRule type="containsText" dxfId="31" priority="1" stopIfTrue="1" operator="containsText" text="//">
      <formula>NOT(ISERROR(SEARCH("//",A10)))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1D24E-0BBE-4C8D-A04B-EC6028058E8D}">
  <sheetPr>
    <tabColor rgb="FFFFC000"/>
  </sheetPr>
  <dimension ref="A1:N267"/>
  <sheetViews>
    <sheetView tabSelected="1" workbookViewId="0">
      <pane ySplit="4" topLeftCell="A5" activePane="bottomLeft" state="frozen"/>
      <selection pane="bottomLeft" activeCell="B5" sqref="B5"/>
    </sheetView>
  </sheetViews>
  <sheetFormatPr defaultRowHeight="15"/>
  <cols>
    <col min="1" max="1" width="9.140625" style="15"/>
    <col min="2" max="2" width="45" customWidth="1"/>
    <col min="3" max="3" width="1.7109375" customWidth="1"/>
    <col min="4" max="4" width="19.42578125" style="36" customWidth="1"/>
    <col min="5" max="8" width="23.42578125" customWidth="1"/>
    <col min="9" max="9" width="3.28515625" style="18" customWidth="1"/>
    <col min="10" max="10" width="30" customWidth="1"/>
    <col min="11" max="11" width="25.5703125" customWidth="1"/>
    <col min="12" max="12" width="29" customWidth="1"/>
    <col min="13" max="13" width="25.5703125" customWidth="1"/>
    <col min="14" max="14" width="66" customWidth="1"/>
  </cols>
  <sheetData>
    <row r="1" spans="1:14" s="3" customFormat="1" ht="30">
      <c r="A1" s="17" t="s">
        <v>232</v>
      </c>
      <c r="B1" s="2" t="s">
        <v>245</v>
      </c>
      <c r="D1" s="28"/>
      <c r="I1" s="18"/>
    </row>
    <row r="2" spans="1:14" s="6" customFormat="1">
      <c r="A2" s="16" t="s">
        <v>231</v>
      </c>
      <c r="B2" s="5" t="s">
        <v>1383</v>
      </c>
      <c r="I2" s="27"/>
    </row>
    <row r="3" spans="1:14" s="23" customFormat="1">
      <c r="A3" s="26"/>
      <c r="B3" s="25" t="s">
        <v>244</v>
      </c>
      <c r="C3" s="12"/>
      <c r="D3" s="24" t="s">
        <v>243</v>
      </c>
      <c r="E3" s="45" t="s">
        <v>242</v>
      </c>
      <c r="F3" s="45"/>
      <c r="G3" s="46" t="s">
        <v>241</v>
      </c>
      <c r="H3" s="47"/>
      <c r="I3" s="18"/>
      <c r="J3" s="48" t="s">
        <v>240</v>
      </c>
      <c r="K3" s="49"/>
      <c r="L3" s="49"/>
      <c r="M3" s="49"/>
      <c r="N3" s="50"/>
    </row>
    <row r="4" spans="1:14" s="21" customFormat="1">
      <c r="A4" s="22" t="s">
        <v>228</v>
      </c>
      <c r="B4" s="40" t="s">
        <v>596</v>
      </c>
      <c r="C4" s="12"/>
      <c r="D4" s="12" t="s">
        <v>239</v>
      </c>
      <c r="E4" s="12" t="s">
        <v>238</v>
      </c>
      <c r="F4" s="12" t="s">
        <v>237</v>
      </c>
      <c r="G4" s="12" t="s">
        <v>236</v>
      </c>
      <c r="H4" s="12" t="s">
        <v>235</v>
      </c>
      <c r="I4" s="18"/>
      <c r="J4" s="21" t="s">
        <v>58</v>
      </c>
      <c r="K4" s="21" t="s">
        <v>59</v>
      </c>
      <c r="L4" s="21" t="s">
        <v>60</v>
      </c>
      <c r="M4" s="21" t="s">
        <v>234</v>
      </c>
      <c r="N4" s="21" t="s">
        <v>233</v>
      </c>
    </row>
    <row r="5" spans="1:14">
      <c r="A5" s="19"/>
      <c r="D5" s="36" t="str">
        <f>IF(ISBLANK(B5),"",IF(ISERROR(MATCH(B5,xx_matrix[command],0)),FALSE,IF(ISTEXT(INDEX(xx_matrix[videoLink],MATCH(B5,xx_matrix[command],0),1)),HYPERLINK(INDEX(xx_matrix[videoLink],MATCH(B5,xx_matrix[command],0),1),"_YES_"),"YES")))</f>
        <v/>
      </c>
      <c r="J5" t="str">
        <f>IFERROR(INDEX(xx_matrix[SrcModel],MATCH($B5,xx_matrix[command],0)),"")</f>
        <v/>
      </c>
      <c r="K5" t="str">
        <f>IFERROR(INDEX(xx_matrix[SrcObject],MATCH($B5,xx_matrix[command],0)),"")</f>
        <v/>
      </c>
      <c r="L5" t="str">
        <f>IFERROR(INDEX(xx_matrix[TgtModel],MATCH($B5,xx_matrix[command],0)),"")</f>
        <v/>
      </c>
      <c r="M5" t="str">
        <f>IFERROR(INDEX(xx_matrix[TgtObject],MATCH($B5,xx_matrix[command],0)),"")</f>
        <v/>
      </c>
      <c r="N5" t="str">
        <f>IFERROR(INDEX(xx_matrix[Instructions],MATCH($B5,xx_matrix[command],0)),"")</f>
        <v/>
      </c>
    </row>
    <row r="6" spans="1:14">
      <c r="A6" s="20" t="s">
        <v>1343</v>
      </c>
      <c r="D6" s="36" t="str">
        <f>IF(ISBLANK(B6),"",IF(ISERROR(MATCH(B6,xx_matrix[command],0)),FALSE,IF(ISTEXT(INDEX(xx_matrix[videoLink],MATCH(B6,xx_matrix[command],0),1)),HYPERLINK(INDEX(xx_matrix[videoLink],MATCH(B6,xx_matrix[command],0),1),"_YES_"),"YES")))</f>
        <v/>
      </c>
      <c r="J6" t="str">
        <f>IFERROR(INDEX(xx_matrix[SrcModel],MATCH($B6,xx_matrix[command],0)),"")</f>
        <v/>
      </c>
      <c r="K6" t="str">
        <f>IFERROR(INDEX(xx_matrix[SrcObject],MATCH($B6,xx_matrix[command],0)),"")</f>
        <v/>
      </c>
      <c r="L6" t="str">
        <f>IFERROR(INDEX(xx_matrix[TgtModel],MATCH($B6,xx_matrix[command],0)),"")</f>
        <v/>
      </c>
      <c r="M6" t="str">
        <f>IFERROR(INDEX(xx_matrix[TgtObject],MATCH($B6,xx_matrix[command],0)),"")</f>
        <v/>
      </c>
      <c r="N6" t="str">
        <f>IFERROR(INDEX(xx_matrix[Instructions],MATCH($B6,xx_matrix[command],0)),"")</f>
        <v/>
      </c>
    </row>
    <row r="7" spans="1:14">
      <c r="A7" s="19"/>
      <c r="D7" s="36" t="str">
        <f>IF(ISBLANK(B7),"",IF(ISERROR(MATCH(B7,xx_matrix[command],0)),FALSE,IF(ISTEXT(INDEX(xx_matrix[videoLink],MATCH(B7,xx_matrix[command],0),1)),HYPERLINK(INDEX(xx_matrix[videoLink],MATCH(B7,xx_matrix[command],0),1),"_YES_"),"YES")))</f>
        <v/>
      </c>
      <c r="J7" t="str">
        <f>IFERROR(INDEX(xx_matrix[SrcModel],MATCH($B7,xx_matrix[command],0)),"")</f>
        <v/>
      </c>
      <c r="K7" t="str">
        <f>IFERROR(INDEX(xx_matrix[SrcObject],MATCH($B7,xx_matrix[command],0)),"")</f>
        <v/>
      </c>
      <c r="L7" t="str">
        <f>IFERROR(INDEX(xx_matrix[TgtModel],MATCH($B7,xx_matrix[command],0)),"")</f>
        <v/>
      </c>
      <c r="M7" t="str">
        <f>IFERROR(INDEX(xx_matrix[TgtObject],MATCH($B7,xx_matrix[command],0)),"")</f>
        <v/>
      </c>
      <c r="N7" t="str">
        <f>IFERROR(INDEX(xx_matrix[Instructions],MATCH($B7,xx_matrix[command],0)),"")</f>
        <v/>
      </c>
    </row>
    <row r="8" spans="1:14">
      <c r="A8" s="20" t="s">
        <v>1350</v>
      </c>
      <c r="D8" s="36" t="str">
        <f>IF(ISBLANK(B8),"",IF(ISERROR(MATCH(B8,xx_matrix[command],0)),FALSE,IF(ISTEXT(INDEX(xx_matrix[videoLink],MATCH(B8,xx_matrix[command],0),1)),HYPERLINK(INDEX(xx_matrix[videoLink],MATCH(B8,xx_matrix[command],0),1),"_YES_"),"YES")))</f>
        <v/>
      </c>
      <c r="J8" t="str">
        <f>IFERROR(INDEX(xx_matrix[SrcModel],MATCH($B8,xx_matrix[command],0)),"")</f>
        <v/>
      </c>
      <c r="K8" t="str">
        <f>IFERROR(INDEX(xx_matrix[SrcObject],MATCH($B8,xx_matrix[command],0)),"")</f>
        <v/>
      </c>
      <c r="L8" t="str">
        <f>IFERROR(INDEX(xx_matrix[TgtModel],MATCH($B8,xx_matrix[command],0)),"")</f>
        <v/>
      </c>
      <c r="M8" t="str">
        <f>IFERROR(INDEX(xx_matrix[TgtObject],MATCH($B8,xx_matrix[command],0)),"")</f>
        <v/>
      </c>
      <c r="N8" t="str">
        <f>IFERROR(INDEX(xx_matrix[Instructions],MATCH($B8,xx_matrix[command],0)),"")</f>
        <v/>
      </c>
    </row>
    <row r="9" spans="1:14">
      <c r="A9" s="19"/>
      <c r="B9" t="str" cm="1">
        <f t="array" ref="B9">nc_command[model : FAMILY_TBL_EXISTS]</f>
        <v>model : FAMILY_TBL_EXISTS</v>
      </c>
      <c r="D9" s="36" t="str">
        <f>IF(ISBLANK(B9),"",IF(ISERROR(MATCH(B9,xx_matrix[command],0)),FALSE,IF(ISTEXT(INDEX(xx_matrix[videoLink],MATCH(B9,xx_matrix[command],0),1)),HYPERLINK(INDEX(xx_matrix[videoLink],MATCH(B9,xx_matrix[command],0),1),"_YES_"),"YES")))</f>
        <v>_YES_</v>
      </c>
      <c r="G9" t="s">
        <v>257</v>
      </c>
      <c r="H9" t="s">
        <v>1351</v>
      </c>
      <c r="J9" t="str">
        <f>IFERROR(INDEX(xx_matrix[SrcModel],MATCH($B9,xx_matrix[command],0)),"")</f>
        <v>Default: activeModel
Arg Options: 
 - model.ext
 - REG:regVar</v>
      </c>
      <c r="K9">
        <f>IFERROR(INDEX(xx_matrix[SrcObject],MATCH($B9,xx_matrix[command],0)),"")</f>
        <v>0</v>
      </c>
      <c r="L9" t="str">
        <f>IFERROR(INDEX(xx_matrix[TgtModel],MATCH($B9,xx_matrix[command],0)),"")</f>
        <v>tgtWorksheet / REGISTER
 - REG:regVar</v>
      </c>
      <c r="M9" t="str">
        <f>IFERROR(INDEX(xx_matrix[TgtObject],MATCH($B9,xx_matrix[command],0)),"")</f>
        <v>tgtCellAddress
 - regVar
 - REG:regVar</v>
      </c>
      <c r="N9" t="str">
        <f>IFERROR(INDEX(xx_matrix[Instructions],MATCH($B9,xx_matrix[command],0)),"")</f>
        <v>Verify that a Model has a Family Table</v>
      </c>
    </row>
    <row r="10" spans="1:14">
      <c r="A10" s="19"/>
      <c r="D10" s="36" t="str">
        <f>IF(ISBLANK(B10),"",IF(ISERROR(MATCH(B10,xx_matrix[command],0)),FALSE,IF(ISTEXT(INDEX(xx_matrix[videoLink],MATCH(B10,xx_matrix[command],0),1)),HYPERLINK(INDEX(xx_matrix[videoLink],MATCH(B10,xx_matrix[command],0),1),"_YES_"),"YES")))</f>
        <v/>
      </c>
      <c r="J10" t="str">
        <f>IFERROR(INDEX(xx_matrix[SrcModel],MATCH($B10,xx_matrix[command],0)),"")</f>
        <v/>
      </c>
      <c r="K10" t="str">
        <f>IFERROR(INDEX(xx_matrix[SrcObject],MATCH($B10,xx_matrix[command],0)),"")</f>
        <v/>
      </c>
      <c r="L10" t="str">
        <f>IFERROR(INDEX(xx_matrix[TgtModel],MATCH($B10,xx_matrix[command],0)),"")</f>
        <v/>
      </c>
      <c r="M10" t="str">
        <f>IFERROR(INDEX(xx_matrix[TgtObject],MATCH($B10,xx_matrix[command],0)),"")</f>
        <v/>
      </c>
      <c r="N10" t="str">
        <f>IFERROR(INDEX(xx_matrix[Instructions],MATCH($B10,xx_matrix[command],0)),"")</f>
        <v/>
      </c>
    </row>
    <row r="11" spans="1:14">
      <c r="A11" s="19" t="s">
        <v>1352</v>
      </c>
      <c r="D11" s="36" t="str">
        <f>IF(ISBLANK(B11),"",IF(ISERROR(MATCH(B11,xx_matrix[command],0)),FALSE,IF(ISTEXT(INDEX(xx_matrix[videoLink],MATCH(B11,xx_matrix[command],0),1)),HYPERLINK(INDEX(xx_matrix[videoLink],MATCH(B11,xx_matrix[command],0),1),"_YES_"),"YES")))</f>
        <v/>
      </c>
      <c r="J11" t="str">
        <f>IFERROR(INDEX(xx_matrix[SrcModel],MATCH($B11,xx_matrix[command],0)),"")</f>
        <v/>
      </c>
      <c r="K11" t="str">
        <f>IFERROR(INDEX(xx_matrix[SrcObject],MATCH($B11,xx_matrix[command],0)),"")</f>
        <v/>
      </c>
      <c r="L11" t="str">
        <f>IFERROR(INDEX(xx_matrix[TgtModel],MATCH($B11,xx_matrix[command],0)),"")</f>
        <v/>
      </c>
      <c r="M11" t="str">
        <f>IFERROR(INDEX(xx_matrix[TgtObject],MATCH($B11,xx_matrix[command],0)),"")</f>
        <v/>
      </c>
      <c r="N11" t="str">
        <f>IFERROR(INDEX(xx_matrix[Instructions],MATCH($B11,xx_matrix[command],0)),"")</f>
        <v/>
      </c>
    </row>
    <row r="12" spans="1:14">
      <c r="A12" s="19"/>
      <c r="B12" t="str" cm="1">
        <f t="array" ref="B12">nc_command[application : STOP_ALERT]</f>
        <v>application : STOP_ALERT</v>
      </c>
      <c r="D12" s="36" t="str">
        <f>IF(ISBLANK(B12),"",IF(ISERROR(MATCH(B12,xx_matrix[command],0)),FALSE,IF(ISTEXT(INDEX(xx_matrix[videoLink],MATCH(B12,xx_matrix[command],0),1)),HYPERLINK(INDEX(xx_matrix[videoLink],MATCH(B12,xx_matrix[command],0),1),"_YES_"),"YES")))</f>
        <v>YES</v>
      </c>
      <c r="E12" t="s">
        <v>1354</v>
      </c>
      <c r="J12" t="str">
        <f>IFERROR(INDEX(xx_matrix[SrcModel],MATCH($B12,xx_matrix[command],0)),"")</f>
        <v>message
 - REG:regVar</v>
      </c>
      <c r="K12">
        <f>IFERROR(INDEX(xx_matrix[SrcObject],MATCH($B12,xx_matrix[command],0)),"")</f>
        <v>0</v>
      </c>
      <c r="L12">
        <f>IFERROR(INDEX(xx_matrix[TgtModel],MATCH($B12,xx_matrix[command],0)),"")</f>
        <v>0</v>
      </c>
      <c r="M12">
        <f>IFERROR(INDEX(xx_matrix[TgtObject],MATCH($B12,xx_matrix[command],0)),"")</f>
        <v>0</v>
      </c>
      <c r="N12" t="str">
        <f>IFERROR(INDEX(xx_matrix[Instructions],MATCH($B12,xx_matrix[command],0)),"")</f>
        <v>Stop Application Execution and Display an Alert Dialog</v>
      </c>
    </row>
    <row r="13" spans="1:14">
      <c r="A13" s="19" t="s">
        <v>1353</v>
      </c>
      <c r="D13" s="36" t="str">
        <f>IF(ISBLANK(B13),"",IF(ISERROR(MATCH(B13,xx_matrix[command],0)),FALSE,IF(ISTEXT(INDEX(xx_matrix[videoLink],MATCH(B13,xx_matrix[command],0),1)),HYPERLINK(INDEX(xx_matrix[videoLink],MATCH(B13,xx_matrix[command],0),1),"_YES_"),"YES")))</f>
        <v/>
      </c>
      <c r="J13" t="str">
        <f>IFERROR(INDEX(xx_matrix[SrcModel],MATCH($B13,xx_matrix[command],0)),"")</f>
        <v/>
      </c>
      <c r="K13" t="str">
        <f>IFERROR(INDEX(xx_matrix[SrcObject],MATCH($B13,xx_matrix[command],0)),"")</f>
        <v/>
      </c>
      <c r="L13" t="str">
        <f>IFERROR(INDEX(xx_matrix[TgtModel],MATCH($B13,xx_matrix[command],0)),"")</f>
        <v/>
      </c>
      <c r="M13" t="str">
        <f>IFERROR(INDEX(xx_matrix[TgtObject],MATCH($B13,xx_matrix[command],0)),"")</f>
        <v/>
      </c>
      <c r="N13" t="str">
        <f>IFERROR(INDEX(xx_matrix[Instructions],MATCH($B13,xx_matrix[command],0)),"")</f>
        <v/>
      </c>
    </row>
    <row r="14" spans="1:14">
      <c r="A14" s="19"/>
      <c r="D14" s="36" t="str">
        <f>IF(ISBLANK(B14),"",IF(ISERROR(MATCH(B14,xx_matrix[command],0)),FALSE,IF(ISTEXT(INDEX(xx_matrix[videoLink],MATCH(B14,xx_matrix[command],0),1)),HYPERLINK(INDEX(xx_matrix[videoLink],MATCH(B14,xx_matrix[command],0),1),"_YES_"),"YES")))</f>
        <v/>
      </c>
      <c r="J14" t="str">
        <f>IFERROR(INDEX(xx_matrix[SrcModel],MATCH($B14,xx_matrix[command],0)),"")</f>
        <v/>
      </c>
      <c r="K14" t="str">
        <f>IFERROR(INDEX(xx_matrix[SrcObject],MATCH($B14,xx_matrix[command],0)),"")</f>
        <v/>
      </c>
      <c r="L14" t="str">
        <f>IFERROR(INDEX(xx_matrix[TgtModel],MATCH($B14,xx_matrix[command],0)),"")</f>
        <v/>
      </c>
      <c r="M14" t="str">
        <f>IFERROR(INDEX(xx_matrix[TgtObject],MATCH($B14,xx_matrix[command],0)),"")</f>
        <v/>
      </c>
      <c r="N14" t="str">
        <f>IFERROR(INDEX(xx_matrix[Instructions],MATCH($B14,xx_matrix[command],0)),"")</f>
        <v/>
      </c>
    </row>
    <row r="15" spans="1:14">
      <c r="A15" s="20" t="s">
        <v>1357</v>
      </c>
      <c r="D15" s="36" t="str">
        <f>IF(ISBLANK(B15),"",IF(ISERROR(MATCH(B15,xx_matrix[command],0)),FALSE,IF(ISTEXT(INDEX(xx_matrix[videoLink],MATCH(B15,xx_matrix[command],0),1)),HYPERLINK(INDEX(xx_matrix[videoLink],MATCH(B15,xx_matrix[command],0),1),"_YES_"),"YES")))</f>
        <v/>
      </c>
      <c r="J15" t="str">
        <f>IFERROR(INDEX(xx_matrix[SrcModel],MATCH($B15,xx_matrix[command],0)),"")</f>
        <v/>
      </c>
      <c r="K15" t="str">
        <f>IFERROR(INDEX(xx_matrix[SrcObject],MATCH($B15,xx_matrix[command],0)),"")</f>
        <v/>
      </c>
      <c r="L15" t="str">
        <f>IFERROR(INDEX(xx_matrix[TgtModel],MATCH($B15,xx_matrix[command],0)),"")</f>
        <v/>
      </c>
      <c r="M15" t="str">
        <f>IFERROR(INDEX(xx_matrix[TgtObject],MATCH($B15,xx_matrix[command],0)),"")</f>
        <v/>
      </c>
      <c r="N15" t="str">
        <f>IFERROR(INDEX(xx_matrix[Instructions],MATCH($B15,xx_matrix[command],0)),"")</f>
        <v/>
      </c>
    </row>
    <row r="16" spans="1:14">
      <c r="A16" s="19"/>
      <c r="B16" t="str" cm="1">
        <f t="array" ref="B16">nc_command[model : GET_ACTIVE]</f>
        <v>model : GET_ACTIVE</v>
      </c>
      <c r="D16" s="36" t="str">
        <f>IF(ISBLANK(B16),"",IF(ISERROR(MATCH(B16,xx_matrix[command],0)),FALSE,IF(ISTEXT(INDEX(xx_matrix[videoLink],MATCH(B16,xx_matrix[command],0),1)),HYPERLINK(INDEX(xx_matrix[videoLink],MATCH(B16,xx_matrix[command],0),1),"_YES_"),"YES")))</f>
        <v>YES</v>
      </c>
      <c r="G16" t="s">
        <v>257</v>
      </c>
      <c r="H16" t="s">
        <v>1341</v>
      </c>
      <c r="J16">
        <f>IFERROR(INDEX(xx_matrix[SrcModel],MATCH($B16,xx_matrix[command],0)),"")</f>
        <v>0</v>
      </c>
      <c r="K16">
        <f>IFERROR(INDEX(xx_matrix[SrcObject],MATCH($B16,xx_matrix[command],0)),"")</f>
        <v>0</v>
      </c>
      <c r="L16" t="str">
        <f>IFERROR(INDEX(xx_matrix[TgtModel],MATCH($B16,xx_matrix[command],0)),"")</f>
        <v>tgtWorksheet / REGISTER
 - REG:regVar</v>
      </c>
      <c r="M16" t="str">
        <f>IFERROR(INDEX(xx_matrix[TgtObject],MATCH($B16,xx_matrix[command],0)),"")</f>
        <v>tgtCellAddress
 - regVar
 - REG:regVar</v>
      </c>
      <c r="N16" t="str">
        <f>IFERROR(INDEX(xx_matrix[Instructions],MATCH($B16,xx_matrix[command],0)),"")</f>
        <v>Get the name of the active Model</v>
      </c>
    </row>
    <row r="17" spans="1:14">
      <c r="A17" s="19"/>
      <c r="D17" s="36" t="str">
        <f>IF(ISBLANK(B17),"",IF(ISERROR(MATCH(B17,xx_matrix[command],0)),FALSE,IF(ISTEXT(INDEX(xx_matrix[videoLink],MATCH(B17,xx_matrix[command],0),1)),HYPERLINK(INDEX(xx_matrix[videoLink],MATCH(B17,xx_matrix[command],0),1),"_YES_"),"YES")))</f>
        <v/>
      </c>
      <c r="J17" t="str">
        <f>IFERROR(INDEX(xx_matrix[SrcModel],MATCH($B17,xx_matrix[command],0)),"")</f>
        <v/>
      </c>
      <c r="K17" t="str">
        <f>IFERROR(INDEX(xx_matrix[SrcObject],MATCH($B17,xx_matrix[command],0)),"")</f>
        <v/>
      </c>
      <c r="L17" t="str">
        <f>IFERROR(INDEX(xx_matrix[TgtModel],MATCH($B17,xx_matrix[command],0)),"")</f>
        <v/>
      </c>
      <c r="M17" t="str">
        <f>IFERROR(INDEX(xx_matrix[TgtObject],MATCH($B17,xx_matrix[command],0)),"")</f>
        <v/>
      </c>
      <c r="N17" t="str">
        <f>IFERROR(INDEX(xx_matrix[Instructions],MATCH($B17,xx_matrix[command],0)),"")</f>
        <v/>
      </c>
    </row>
    <row r="18" spans="1:14">
      <c r="A18" s="20" t="s">
        <v>1336</v>
      </c>
      <c r="D18" s="36" t="str">
        <f>IF(ISBLANK(B18),"",IF(ISERROR(MATCH(B18,xx_matrix[command],0)),FALSE,IF(ISTEXT(INDEX(xx_matrix[videoLink],MATCH(B18,xx_matrix[command],0),1)),HYPERLINK(INDEX(xx_matrix[videoLink],MATCH(B18,xx_matrix[command],0),1),"_YES_"),"YES")))</f>
        <v/>
      </c>
      <c r="J18" t="str">
        <f>IFERROR(INDEX(xx_matrix[SrcModel],MATCH($B18,xx_matrix[command],0)),"")</f>
        <v/>
      </c>
      <c r="K18" t="str">
        <f>IFERROR(INDEX(xx_matrix[SrcObject],MATCH($B18,xx_matrix[command],0)),"")</f>
        <v/>
      </c>
      <c r="L18" t="str">
        <f>IFERROR(INDEX(xx_matrix[TgtModel],MATCH($B18,xx_matrix[command],0)),"")</f>
        <v/>
      </c>
      <c r="M18" t="str">
        <f>IFERROR(INDEX(xx_matrix[TgtObject],MATCH($B18,xx_matrix[command],0)),"")</f>
        <v/>
      </c>
      <c r="N18" t="str">
        <f>IFERROR(INDEX(xx_matrix[Instructions],MATCH($B18,xx_matrix[command],0)),"")</f>
        <v/>
      </c>
    </row>
    <row r="19" spans="1:14">
      <c r="A19" s="19"/>
      <c r="B19" t="str" cm="1">
        <f t="array" ref="B19">nc_command[worksheet : TABLE_CREATE]</f>
        <v>worksheet : TABLE_CREATE</v>
      </c>
      <c r="D19" s="36" t="str">
        <f>IF(ISBLANK(B19),"",IF(ISERROR(MATCH(B19,xx_matrix[command],0)),FALSE,IF(ISTEXT(INDEX(xx_matrix[videoLink],MATCH(B19,xx_matrix[command],0),1)),HYPERLINK(INDEX(xx_matrix[videoLink],MATCH(B19,xx_matrix[command],0),1),"_YES_"),"YES")))</f>
        <v>_YES_</v>
      </c>
      <c r="E19" t="s">
        <v>1326</v>
      </c>
      <c r="G19" t="s">
        <v>1327</v>
      </c>
      <c r="J19" t="str">
        <f>IFERROR(INDEX(xx_matrix[SrcModel],MATCH($B19,xx_matrix[command],0)),"")</f>
        <v>tblName
 - REG:regVar</v>
      </c>
      <c r="K19" t="str">
        <f>IFERROR(INDEX(xx_matrix[SrcObject],MATCH($B19,xx_matrix[command],0)),"")</f>
        <v>Default: "nc_default"
Arg Options: 
 - col1,col2,col3... (use regional list sep)(opt)
 - REG:regVar</v>
      </c>
      <c r="L19" t="str">
        <f>IFERROR(INDEX(xx_matrix[TgtModel],MATCH($B19,xx_matrix[command],0)),"")</f>
        <v>tgtWorksheet
 - REG:regVar</v>
      </c>
      <c r="M19" t="str">
        <f>IFERROR(INDEX(xx_matrix[TgtObject],MATCH($B19,xx_matrix[command],0)),"")</f>
        <v>Default: A1
Arg Options: 
 - tgtCellAddress(opt)
 - regVar
 - REG:regVar</v>
      </c>
      <c r="N19" t="str">
        <f>IFERROR(INDEX(xx_matrix[Instructions],MATCH($B19,xx_matrix[command],0)),"")</f>
        <v>Create an Excel Table Object</v>
      </c>
    </row>
    <row r="20" spans="1:14">
      <c r="A20" s="19"/>
      <c r="D20" s="36" t="str">
        <f>IF(ISBLANK(B20),"",IF(ISERROR(MATCH(B20,xx_matrix[command],0)),FALSE,IF(ISTEXT(INDEX(xx_matrix[videoLink],MATCH(B20,xx_matrix[command],0),1)),HYPERLINK(INDEX(xx_matrix[videoLink],MATCH(B20,xx_matrix[command],0),1),"_YES_"),"YES")))</f>
        <v/>
      </c>
      <c r="J20" t="str">
        <f>IFERROR(INDEX(xx_matrix[SrcModel],MATCH($B20,xx_matrix[command],0)),"")</f>
        <v/>
      </c>
      <c r="K20" t="str">
        <f>IFERROR(INDEX(xx_matrix[SrcObject],MATCH($B20,xx_matrix[command],0)),"")</f>
        <v/>
      </c>
      <c r="L20" t="str">
        <f>IFERROR(INDEX(xx_matrix[TgtModel],MATCH($B20,xx_matrix[command],0)),"")</f>
        <v/>
      </c>
      <c r="M20" t="str">
        <f>IFERROR(INDEX(xx_matrix[TgtObject],MATCH($B20,xx_matrix[command],0)),"")</f>
        <v/>
      </c>
      <c r="N20" t="str">
        <f>IFERROR(INDEX(xx_matrix[Instructions],MATCH($B20,xx_matrix[command],0)),"")</f>
        <v/>
      </c>
    </row>
    <row r="21" spans="1:14">
      <c r="A21" s="20" t="s">
        <v>1349</v>
      </c>
      <c r="D21" s="36" t="str">
        <f>IF(ISBLANK(B21),"",IF(ISERROR(MATCH(B21,xx_matrix[command],0)),FALSE,IF(ISTEXT(INDEX(xx_matrix[videoLink],MATCH(B21,xx_matrix[command],0),1)),HYPERLINK(INDEX(xx_matrix[videoLink],MATCH(B21,xx_matrix[command],0),1),"_YES_"),"YES")))</f>
        <v/>
      </c>
      <c r="J21" t="str">
        <f>IFERROR(INDEX(xx_matrix[SrcModel],MATCH($B21,xx_matrix[command],0)),"")</f>
        <v/>
      </c>
      <c r="K21" t="str">
        <f>IFERROR(INDEX(xx_matrix[SrcObject],MATCH($B21,xx_matrix[command],0)),"")</f>
        <v/>
      </c>
      <c r="L21" t="str">
        <f>IFERROR(INDEX(xx_matrix[TgtModel],MATCH($B21,xx_matrix[command],0)),"")</f>
        <v/>
      </c>
      <c r="M21" t="str">
        <f>IFERROR(INDEX(xx_matrix[TgtObject],MATCH($B21,xx_matrix[command],0)),"")</f>
        <v/>
      </c>
      <c r="N21" t="str">
        <f>IFERROR(INDEX(xx_matrix[Instructions],MATCH($B21,xx_matrix[command],0)),"")</f>
        <v/>
      </c>
    </row>
    <row r="22" spans="1:14">
      <c r="A22" s="19"/>
      <c r="B22" t="str" cm="1">
        <f t="array" ref="B22">nc_command[application : DIR_DELETE]</f>
        <v>application : DIR_DELETE</v>
      </c>
      <c r="D22" s="36" t="str">
        <f>IF(ISBLANK(B22),"",IF(ISERROR(MATCH(B22,xx_matrix[command],0)),FALSE,IF(ISTEXT(INDEX(xx_matrix[videoLink],MATCH(B22,xx_matrix[command],0),1)),HYPERLINK(INDEX(xx_matrix[videoLink],MATCH(B22,xx_matrix[command],0),1),"_YES_"),"YES")))</f>
        <v>YES</v>
      </c>
      <c r="E22" t="s">
        <v>1347</v>
      </c>
      <c r="J22" t="str">
        <f>IFERROR(INDEX(xx_matrix[SrcModel],MATCH($B22,xx_matrix[command],0)),"")</f>
        <v>dirname(*)
 - REG:regVar</v>
      </c>
      <c r="K22">
        <f>IFERROR(INDEX(xx_matrix[SrcObject],MATCH($B22,xx_matrix[command],0)),"")</f>
        <v>0</v>
      </c>
      <c r="L22">
        <f>IFERROR(INDEX(xx_matrix[TgtModel],MATCH($B22,xx_matrix[command],0)),"")</f>
        <v>0</v>
      </c>
      <c r="M22">
        <f>IFERROR(INDEX(xx_matrix[TgtObject],MATCH($B22,xx_matrix[command],0)),"")</f>
        <v>0</v>
      </c>
      <c r="N22" t="str">
        <f>IFERROR(INDEX(xx_matrix[Instructions],MATCH($B22,xx_matrix[command],0)),"")</f>
        <v>Delete Directory(ies) (Relative)</v>
      </c>
    </row>
    <row r="23" spans="1:14">
      <c r="A23" s="19"/>
      <c r="B23" t="str" cm="1">
        <f t="array" ref="B23">nc_command[release : SET_NITRO_RELEASE_DIR]</f>
        <v>release : SET_NITRO_RELEASE_DIR</v>
      </c>
      <c r="D23" s="36" t="str">
        <f>IF(ISBLANK(B23),"",IF(ISERROR(MATCH(B23,xx_matrix[command],0)),FALSE,IF(ISTEXT(INDEX(xx_matrix[videoLink],MATCH(B23,xx_matrix[command],0),1)),HYPERLINK(INDEX(xx_matrix[videoLink],MATCH(B23,xx_matrix[command],0),1),"_YES_"),"YES")))</f>
        <v>YES</v>
      </c>
      <c r="E23" t="s">
        <v>1347</v>
      </c>
      <c r="J23" t="str">
        <f>IFERROR(INDEX(xx_matrix[SrcModel],MATCH($B23,xx_matrix[command],0)),"")</f>
        <v>dirName
 - REG:regVar</v>
      </c>
      <c r="K23">
        <f>IFERROR(INDEX(xx_matrix[SrcObject],MATCH($B23,xx_matrix[command],0)),"")</f>
        <v>0</v>
      </c>
      <c r="L23">
        <f>IFERROR(INDEX(xx_matrix[TgtModel],MATCH($B23,xx_matrix[command],0)),"")</f>
        <v>0</v>
      </c>
      <c r="M23">
        <f>IFERROR(INDEX(xx_matrix[TgtObject],MATCH($B23,xx_matrix[command],0)),"")</f>
        <v>0</v>
      </c>
      <c r="N23" t="str">
        <f>IFERROR(INDEX(xx_matrix[Instructions],MATCH($B23,xx_matrix[command],0)),"")</f>
        <v>Set the Backup Directory for Any Release Processes</v>
      </c>
    </row>
    <row r="24" spans="1:14">
      <c r="A24" s="19"/>
      <c r="D24" s="36" t="str">
        <f>IF(ISBLANK(B24),"",IF(ISERROR(MATCH(B24,xx_matrix[command],0)),FALSE,IF(ISTEXT(INDEX(xx_matrix[videoLink],MATCH(B24,xx_matrix[command],0),1)),HYPERLINK(INDEX(xx_matrix[videoLink],MATCH(B24,xx_matrix[command],0),1),"_YES_"),"YES")))</f>
        <v/>
      </c>
      <c r="J24" t="str">
        <f>IFERROR(INDEX(xx_matrix[SrcModel],MATCH($B24,xx_matrix[command],0)),"")</f>
        <v/>
      </c>
      <c r="K24" t="str">
        <f>IFERROR(INDEX(xx_matrix[SrcObject],MATCH($B24,xx_matrix[command],0)),"")</f>
        <v/>
      </c>
      <c r="L24" t="str">
        <f>IFERROR(INDEX(xx_matrix[TgtModel],MATCH($B24,xx_matrix[command],0)),"")</f>
        <v/>
      </c>
      <c r="M24" t="str">
        <f>IFERROR(INDEX(xx_matrix[TgtObject],MATCH($B24,xx_matrix[command],0)),"")</f>
        <v/>
      </c>
      <c r="N24" t="str">
        <f>IFERROR(INDEX(xx_matrix[Instructions],MATCH($B24,xx_matrix[command],0)),"")</f>
        <v/>
      </c>
    </row>
    <row r="25" spans="1:14">
      <c r="A25" s="20" t="s">
        <v>1328</v>
      </c>
      <c r="D25" s="36" t="str">
        <f>IF(ISBLANK(B25),"",IF(ISERROR(MATCH(B25,xx_matrix[command],0)),FALSE,IF(ISTEXT(INDEX(xx_matrix[videoLink],MATCH(B25,xx_matrix[command],0),1)),HYPERLINK(INDEX(xx_matrix[videoLink],MATCH(B25,xx_matrix[command],0),1),"_YES_"),"YES")))</f>
        <v/>
      </c>
      <c r="J25" t="str">
        <f>IFERROR(INDEX(xx_matrix[SrcModel],MATCH($B25,xx_matrix[command],0)),"")</f>
        <v/>
      </c>
      <c r="K25" t="str">
        <f>IFERROR(INDEX(xx_matrix[SrcObject],MATCH($B25,xx_matrix[command],0)),"")</f>
        <v/>
      </c>
      <c r="L25" t="str">
        <f>IFERROR(INDEX(xx_matrix[TgtModel],MATCH($B25,xx_matrix[command],0)),"")</f>
        <v/>
      </c>
      <c r="M25" t="str">
        <f>IFERROR(INDEX(xx_matrix[TgtObject],MATCH($B25,xx_matrix[command],0)),"")</f>
        <v/>
      </c>
      <c r="N25" t="str">
        <f>IFERROR(INDEX(xx_matrix[Instructions],MATCH($B25,xx_matrix[command],0)),"")</f>
        <v/>
      </c>
    </row>
    <row r="26" spans="1:14">
      <c r="A26" s="19"/>
      <c r="B26" t="str" cm="1">
        <f t="array" ref="B26">nc_command[tbl_model : LIST_INSTANCES]</f>
        <v>tbl_model : LIST_INSTANCES</v>
      </c>
      <c r="D26" s="36" t="str">
        <f>IF(ISBLANK(B26),"",IF(ISERROR(MATCH(B26,xx_matrix[command],0)),FALSE,IF(ISTEXT(INDEX(xx_matrix[videoLink],MATCH(B26,xx_matrix[command],0),1)),HYPERLINK(INDEX(xx_matrix[videoLink],MATCH(B26,xx_matrix[command],0),1),"_YES_"),"YES")))</f>
        <v>_YES_</v>
      </c>
      <c r="H26" t="s">
        <v>1326</v>
      </c>
      <c r="J26" t="str">
        <f>IFERROR(INDEX(xx_matrix[SrcModel],MATCH($B26,xx_matrix[command],0)),"")</f>
        <v>Default: activeModel
Arg Options: 
 - model.ext(*)
 - TBL:tblSrc
 - REG:regVar
Table Cols:
[itemName*]</v>
      </c>
      <c r="K26" t="str">
        <f>IFERROR(INDEX(xx_matrix[SrcObject],MATCH($B26,xx_matrix[command],0)),"")</f>
        <v>Default: allInstances
Arg Options: 
 - instanceName(opt)(*)
 - REG:regVar</v>
      </c>
      <c r="L26">
        <f>IFERROR(INDEX(xx_matrix[TgtModel],MATCH($B26,xx_matrix[command],0)),"")</f>
        <v>0</v>
      </c>
      <c r="M26" t="str">
        <f>IFERROR(INDEX(xx_matrix[TgtObject],MATCH($B26,xx_matrix[command],0)),"")</f>
        <v>tblName
 - tblName
 - REG:regVar
Default Table Cols:
[itemName, itemRoot,genericName,instName]</v>
      </c>
      <c r="N26" t="str">
        <f>IFERROR(INDEX(xx_matrix[Instructions],MATCH($B26,xx_matrix[command],0)),"")</f>
        <v>Get a list of top-level Instances from a specified file and create/update a Batch Sheet</v>
      </c>
    </row>
    <row r="27" spans="1:14">
      <c r="A27" s="19"/>
      <c r="D27" s="36" t="str">
        <f>IF(ISBLANK(B27),"",IF(ISERROR(MATCH(B27,xx_matrix[command],0)),FALSE,IF(ISTEXT(INDEX(xx_matrix[videoLink],MATCH(B27,xx_matrix[command],0),1)),HYPERLINK(INDEX(xx_matrix[videoLink],MATCH(B27,xx_matrix[command],0),1),"_YES_"),"YES")))</f>
        <v/>
      </c>
      <c r="J27" t="str">
        <f>IFERROR(INDEX(xx_matrix[SrcModel],MATCH($B27,xx_matrix[command],0)),"")</f>
        <v/>
      </c>
      <c r="K27" t="str">
        <f>IFERROR(INDEX(xx_matrix[SrcObject],MATCH($B27,xx_matrix[command],0)),"")</f>
        <v/>
      </c>
      <c r="L27" t="str">
        <f>IFERROR(INDEX(xx_matrix[TgtModel],MATCH($B27,xx_matrix[command],0)),"")</f>
        <v/>
      </c>
      <c r="M27" t="str">
        <f>IFERROR(INDEX(xx_matrix[TgtObject],MATCH($B27,xx_matrix[command],0)),"")</f>
        <v/>
      </c>
      <c r="N27" t="str">
        <f>IFERROR(INDEX(xx_matrix[Instructions],MATCH($B27,xx_matrix[command],0)),"")</f>
        <v/>
      </c>
    </row>
    <row r="28" spans="1:14">
      <c r="A28" s="20" t="s">
        <v>1335</v>
      </c>
      <c r="D28" s="36" t="str">
        <f>IF(ISBLANK(B28),"",IF(ISERROR(MATCH(B28,xx_matrix[command],0)),FALSE,IF(ISTEXT(INDEX(xx_matrix[videoLink],MATCH(B28,xx_matrix[command],0),1)),HYPERLINK(INDEX(xx_matrix[videoLink],MATCH(B28,xx_matrix[command],0),1),"_YES_"),"YES")))</f>
        <v/>
      </c>
      <c r="J28" t="str">
        <f>IFERROR(INDEX(xx_matrix[SrcModel],MATCH($B28,xx_matrix[command],0)),"")</f>
        <v/>
      </c>
      <c r="K28" t="str">
        <f>IFERROR(INDEX(xx_matrix[SrcObject],MATCH($B28,xx_matrix[command],0)),"")</f>
        <v/>
      </c>
      <c r="L28" t="str">
        <f>IFERROR(INDEX(xx_matrix[TgtModel],MATCH($B28,xx_matrix[command],0)),"")</f>
        <v/>
      </c>
      <c r="M28" t="str">
        <f>IFERROR(INDEX(xx_matrix[TgtObject],MATCH($B28,xx_matrix[command],0)),"")</f>
        <v/>
      </c>
      <c r="N28" t="str">
        <f>IFERROR(INDEX(xx_matrix[Instructions],MATCH($B28,xx_matrix[command],0)),"")</f>
        <v/>
      </c>
    </row>
    <row r="29" spans="1:14">
      <c r="A29" s="19"/>
      <c r="B29" t="str" cm="1">
        <f t="array" ref="B29">nc_command[worksheet : TABLE_CREATE]</f>
        <v>worksheet : TABLE_CREATE</v>
      </c>
      <c r="D29" s="36" t="str">
        <f>IF(ISBLANK(B29),"",IF(ISERROR(MATCH(B29,xx_matrix[command],0)),FALSE,IF(ISTEXT(INDEX(xx_matrix[videoLink],MATCH(B29,xx_matrix[command],0),1)),HYPERLINK(INDEX(xx_matrix[videoLink],MATCH(B29,xx_matrix[command],0),1),"_YES_"),"YES")))</f>
        <v>_YES_</v>
      </c>
      <c r="E29" t="s">
        <v>1337</v>
      </c>
      <c r="G29" t="s">
        <v>1327</v>
      </c>
      <c r="J29" t="str">
        <f>IFERROR(INDEX(xx_matrix[SrcModel],MATCH($B29,xx_matrix[command],0)),"")</f>
        <v>tblName
 - REG:regVar</v>
      </c>
      <c r="K29" t="str">
        <f>IFERROR(INDEX(xx_matrix[SrcObject],MATCH($B29,xx_matrix[command],0)),"")</f>
        <v>Default: "nc_default"
Arg Options: 
 - col1,col2,col3... (use regional list sep)(opt)
 - REG:regVar</v>
      </c>
      <c r="L29" t="str">
        <f>IFERROR(INDEX(xx_matrix[TgtModel],MATCH($B29,xx_matrix[command],0)),"")</f>
        <v>tgtWorksheet
 - REG:regVar</v>
      </c>
      <c r="M29" t="str">
        <f>IFERROR(INDEX(xx_matrix[TgtObject],MATCH($B29,xx_matrix[command],0)),"")</f>
        <v>Default: A1
Arg Options: 
 - tgtCellAddress(opt)
 - regVar
 - REG:regVar</v>
      </c>
      <c r="N29" t="str">
        <f>IFERROR(INDEX(xx_matrix[Instructions],MATCH($B29,xx_matrix[command],0)),"")</f>
        <v>Create an Excel Table Object</v>
      </c>
    </row>
    <row r="30" spans="1:14">
      <c r="A30" s="19"/>
      <c r="D30" s="36" t="str">
        <f>IF(ISBLANK(B30),"",IF(ISERROR(MATCH(B30,xx_matrix[command],0)),FALSE,IF(ISTEXT(INDEX(xx_matrix[videoLink],MATCH(B30,xx_matrix[command],0),1)),HYPERLINK(INDEX(xx_matrix[videoLink],MATCH(B30,xx_matrix[command],0),1),"_YES_"),"YES")))</f>
        <v/>
      </c>
      <c r="J30" t="str">
        <f>IFERROR(INDEX(xx_matrix[SrcModel],MATCH($B30,xx_matrix[command],0)),"")</f>
        <v/>
      </c>
      <c r="K30" t="str">
        <f>IFERROR(INDEX(xx_matrix[SrcObject],MATCH($B30,xx_matrix[command],0)),"")</f>
        <v/>
      </c>
      <c r="L30" t="str">
        <f>IFERROR(INDEX(xx_matrix[TgtModel],MATCH($B30,xx_matrix[command],0)),"")</f>
        <v/>
      </c>
      <c r="M30" t="str">
        <f>IFERROR(INDEX(xx_matrix[TgtObject],MATCH($B30,xx_matrix[command],0)),"")</f>
        <v/>
      </c>
      <c r="N30" t="str">
        <f>IFERROR(INDEX(xx_matrix[Instructions],MATCH($B30,xx_matrix[command],0)),"")</f>
        <v/>
      </c>
    </row>
    <row r="31" spans="1:14">
      <c r="A31" s="20" t="s">
        <v>1333</v>
      </c>
      <c r="D31" s="36" t="str">
        <f>IF(ISBLANK(B31),"",IF(ISERROR(MATCH(B31,xx_matrix[command],0)),FALSE,IF(ISTEXT(INDEX(xx_matrix[videoLink],MATCH(B31,xx_matrix[command],0),1)),HYPERLINK(INDEX(xx_matrix[videoLink],MATCH(B31,xx_matrix[command],0),1),"_YES_"),"YES")))</f>
        <v/>
      </c>
      <c r="J31" t="str">
        <f>IFERROR(INDEX(xx_matrix[SrcModel],MATCH($B31,xx_matrix[command],0)),"")</f>
        <v/>
      </c>
      <c r="K31" t="str">
        <f>IFERROR(INDEX(xx_matrix[SrcObject],MATCH($B31,xx_matrix[command],0)),"")</f>
        <v/>
      </c>
      <c r="L31" t="str">
        <f>IFERROR(INDEX(xx_matrix[TgtModel],MATCH($B31,xx_matrix[command],0)),"")</f>
        <v/>
      </c>
      <c r="M31" t="str">
        <f>IFERROR(INDEX(xx_matrix[TgtObject],MATCH($B31,xx_matrix[command],0)),"")</f>
        <v/>
      </c>
      <c r="N31" t="str">
        <f>IFERROR(INDEX(xx_matrix[Instructions],MATCH($B31,xx_matrix[command],0)),"")</f>
        <v/>
      </c>
    </row>
    <row r="32" spans="1:14">
      <c r="A32" s="19"/>
      <c r="B32" t="str" cm="1">
        <f t="array" ref="B32">nc_command[tbl_application : BATCH_START]</f>
        <v>tbl_application : BATCH_START</v>
      </c>
      <c r="D32" s="36" t="str">
        <f>IF(ISBLANK(B32),"",IF(ISERROR(MATCH(B32,xx_matrix[command],0)),FALSE,IF(ISTEXT(INDEX(xx_matrix[videoLink],MATCH(B32,xx_matrix[command],0),1)),HYPERLINK(INDEX(xx_matrix[videoLink],MATCH(B32,xx_matrix[command],0),1),"_YES_"),"YES")))</f>
        <v>_YES_</v>
      </c>
      <c r="E32" t="s">
        <v>1338</v>
      </c>
      <c r="F32" t="s">
        <v>1334</v>
      </c>
      <c r="G32" t="s">
        <v>1355</v>
      </c>
      <c r="H32" t="s">
        <v>1337</v>
      </c>
      <c r="J32" t="str">
        <f>IFERROR(INDEX(xx_matrix[SrcModel],MATCH($B32,xx_matrix[command],0)),"")</f>
        <v>TBL:tblName
 - TBL:tblSrc
 - REG:regVar
Table Cols:
[itemName*]</v>
      </c>
      <c r="K32" t="str">
        <f>IFERROR(INDEX(xx_matrix[SrcObject],MATCH($B32,xx_matrix[command],0)),"")</f>
        <v>execWorksheetName
 - REG:regVar</v>
      </c>
      <c r="L32" t="str">
        <f>IFERROR(INDEX(xx_matrix[TgtModel],MATCH($B32,xx_matrix[command],0)),"")</f>
        <v>tgtCell
 - REG:regVar</v>
      </c>
      <c r="M32" t="str">
        <f>IFERROR(INDEX(xx_matrix[TgtObject],MATCH($B32,xx_matrix[command],0)),"")</f>
        <v>tgtTblName
 - tblName
 - REG:regVar
Default Table Cols:
[itemName, itemRoot, status (success,fail, skipped)]</v>
      </c>
      <c r="N32" t="str">
        <f>IFERROR(INDEX(xx_matrix[Instructions],MATCH($B32,xx_matrix[command],0)),"")</f>
        <v>Start a Batch Process using reference table, a target execution sheet and Results Table</v>
      </c>
    </row>
    <row r="33" spans="1:14">
      <c r="A33" s="19"/>
      <c r="D33" s="36" t="str">
        <f>IF(ISBLANK(B33),"",IF(ISERROR(MATCH(B33,xx_matrix[command],0)),FALSE,IF(ISTEXT(INDEX(xx_matrix[videoLink],MATCH(B33,xx_matrix[command],0),1)),HYPERLINK(INDEX(xx_matrix[videoLink],MATCH(B33,xx_matrix[command],0),1),"_YES_"),"YES")))</f>
        <v/>
      </c>
      <c r="J33" t="str">
        <f>IFERROR(INDEX(xx_matrix[SrcModel],MATCH($B33,xx_matrix[command],0)),"")</f>
        <v/>
      </c>
      <c r="K33" t="str">
        <f>IFERROR(INDEX(xx_matrix[SrcObject],MATCH($B33,xx_matrix[command],0)),"")</f>
        <v/>
      </c>
      <c r="L33" t="str">
        <f>IFERROR(INDEX(xx_matrix[TgtModel],MATCH($B33,xx_matrix[command],0)),"")</f>
        <v/>
      </c>
      <c r="M33" t="str">
        <f>IFERROR(INDEX(xx_matrix[TgtObject],MATCH($B33,xx_matrix[command],0)),"")</f>
        <v/>
      </c>
      <c r="N33" t="str">
        <f>IFERROR(INDEX(xx_matrix[Instructions],MATCH($B33,xx_matrix[command],0)),"")</f>
        <v/>
      </c>
    </row>
    <row r="34" spans="1:14">
      <c r="A34" s="20" t="s">
        <v>1356</v>
      </c>
      <c r="D34" s="36" t="str">
        <f>IF(ISBLANK(B34),"",IF(ISERROR(MATCH(B34,xx_matrix[command],0)),FALSE,IF(ISTEXT(INDEX(xx_matrix[videoLink],MATCH(B34,xx_matrix[command],0),1)),HYPERLINK(INDEX(xx_matrix[videoLink],MATCH(B34,xx_matrix[command],0),1),"_YES_"),"YES")))</f>
        <v/>
      </c>
      <c r="J34" t="str">
        <f>IFERROR(INDEX(xx_matrix[SrcModel],MATCH($B34,xx_matrix[command],0)),"")</f>
        <v/>
      </c>
      <c r="K34" t="str">
        <f>IFERROR(INDEX(xx_matrix[SrcObject],MATCH($B34,xx_matrix[command],0)),"")</f>
        <v/>
      </c>
      <c r="L34" t="str">
        <f>IFERROR(INDEX(xx_matrix[TgtModel],MATCH($B34,xx_matrix[command],0)),"")</f>
        <v/>
      </c>
      <c r="M34" t="str">
        <f>IFERROR(INDEX(xx_matrix[TgtObject],MATCH($B34,xx_matrix[command],0)),"")</f>
        <v/>
      </c>
      <c r="N34" t="str">
        <f>IFERROR(INDEX(xx_matrix[Instructions],MATCH($B34,xx_matrix[command],0)),"")</f>
        <v/>
      </c>
    </row>
    <row r="35" spans="1:14">
      <c r="A35" s="19"/>
      <c r="B35" t="str" cm="1">
        <f t="array" ref="B35">nc_command[application : ERASE_MEMORY]</f>
        <v>application : ERASE_MEMORY</v>
      </c>
      <c r="D35" s="36" t="str">
        <f>IF(ISBLANK(B35),"",IF(ISERROR(MATCH(B35,xx_matrix[command],0)),FALSE,IF(ISTEXT(INDEX(xx_matrix[videoLink],MATCH(B35,xx_matrix[command],0),1)),HYPERLINK(INDEX(xx_matrix[videoLink],MATCH(B35,xx_matrix[command],0),1),"_YES_"),"YES")))</f>
        <v>YES</v>
      </c>
      <c r="J35">
        <f>IFERROR(INDEX(xx_matrix[SrcModel],MATCH($B35,xx_matrix[command],0)),"")</f>
        <v>0</v>
      </c>
      <c r="K35">
        <f>IFERROR(INDEX(xx_matrix[SrcObject],MATCH($B35,xx_matrix[command],0)),"")</f>
        <v>0</v>
      </c>
      <c r="L35">
        <f>IFERROR(INDEX(xx_matrix[TgtModel],MATCH($B35,xx_matrix[command],0)),"")</f>
        <v>0</v>
      </c>
      <c r="M35">
        <f>IFERROR(INDEX(xx_matrix[TgtObject],MATCH($B35,xx_matrix[command],0)),"")</f>
        <v>0</v>
      </c>
      <c r="N35" t="str">
        <f>IFERROR(INDEX(xx_matrix[Instructions],MATCH($B35,xx_matrix[command],0)),"")</f>
        <v>Force Pro/E to Erase Memory (all models)</v>
      </c>
    </row>
    <row r="36" spans="1:14">
      <c r="A36" s="19"/>
      <c r="B36" t="str" cm="1">
        <f t="array" ref="B36">nc_command[model : OPEN]</f>
        <v>model : OPEN</v>
      </c>
      <c r="D36" s="36" t="str">
        <f>IF(ISBLANK(B36),"",IF(ISERROR(MATCH(B36,xx_matrix[command],0)),FALSE,IF(ISTEXT(INDEX(xx_matrix[videoLink],MATCH(B36,xx_matrix[command],0),1)),HYPERLINK(INDEX(xx_matrix[videoLink],MATCH(B36,xx_matrix[command],0),1),"_YES_"),"YES")))</f>
        <v>_YES_</v>
      </c>
      <c r="E36" t="s">
        <v>1342</v>
      </c>
      <c r="J36" t="str">
        <f>IFERROR(INDEX(xx_matrix[SrcModel],MATCH($B36,xx_matrix[command],0)),"")</f>
        <v>model.ext(*)
 - REG:regVar</v>
      </c>
      <c r="K36">
        <f>IFERROR(INDEX(xx_matrix[SrcObject],MATCH($B36,xx_matrix[command],0)),"")</f>
        <v>0</v>
      </c>
      <c r="L36">
        <f>IFERROR(INDEX(xx_matrix[TgtModel],MATCH($B36,xx_matrix[command],0)),"")</f>
        <v>0</v>
      </c>
      <c r="M36">
        <f>IFERROR(INDEX(xx_matrix[TgtObject],MATCH($B36,xx_matrix[command],0)),"")</f>
        <v>0</v>
      </c>
      <c r="N36" t="str">
        <f>IFERROR(INDEX(xx_matrix[Instructions],MATCH($B36,xx_matrix[command],0)),"")</f>
        <v>Open and Activate a Model from Hard Drive of InSession</v>
      </c>
    </row>
    <row r="37" spans="1:14">
      <c r="A37" s="19"/>
      <c r="D37" s="36" t="str">
        <f>IF(ISBLANK(B37),"",IF(ISERROR(MATCH(B37,xx_matrix[command],0)),FALSE,IF(ISTEXT(INDEX(xx_matrix[videoLink],MATCH(B37,xx_matrix[command],0),1)),HYPERLINK(INDEX(xx_matrix[videoLink],MATCH(B37,xx_matrix[command],0),1),"_YES_"),"YES")))</f>
        <v/>
      </c>
      <c r="J37" t="str">
        <f>IFERROR(INDEX(xx_matrix[SrcModel],MATCH($B37,xx_matrix[command],0)),"")</f>
        <v/>
      </c>
      <c r="K37" t="str">
        <f>IFERROR(INDEX(xx_matrix[SrcObject],MATCH($B37,xx_matrix[command],0)),"")</f>
        <v/>
      </c>
      <c r="L37" t="str">
        <f>IFERROR(INDEX(xx_matrix[TgtModel],MATCH($B37,xx_matrix[command],0)),"")</f>
        <v/>
      </c>
      <c r="M37" t="str">
        <f>IFERROR(INDEX(xx_matrix[TgtObject],MATCH($B37,xx_matrix[command],0)),"")</f>
        <v/>
      </c>
      <c r="N37" t="str">
        <f>IFERROR(INDEX(xx_matrix[Instructions],MATCH($B37,xx_matrix[command],0)),"")</f>
        <v/>
      </c>
    </row>
    <row r="38" spans="1:14">
      <c r="A38" s="19"/>
      <c r="D38" s="36" t="str">
        <f>IF(ISBLANK(B38),"",IF(ISERROR(MATCH(B38,xx_matrix[command],0)),FALSE,IF(ISTEXT(INDEX(xx_matrix[videoLink],MATCH(B38,xx_matrix[command],0),1)),HYPERLINK(INDEX(xx_matrix[videoLink],MATCH(B38,xx_matrix[command],0),1),"_YES_"),"YES")))</f>
        <v/>
      </c>
      <c r="J38" t="str">
        <f>IFERROR(INDEX(xx_matrix[SrcModel],MATCH($B38,xx_matrix[command],0)),"")</f>
        <v/>
      </c>
      <c r="K38" t="str">
        <f>IFERROR(INDEX(xx_matrix[SrcObject],MATCH($B38,xx_matrix[command],0)),"")</f>
        <v/>
      </c>
      <c r="L38" t="str">
        <f>IFERROR(INDEX(xx_matrix[TgtModel],MATCH($B38,xx_matrix[command],0)),"")</f>
        <v/>
      </c>
      <c r="M38" t="str">
        <f>IFERROR(INDEX(xx_matrix[TgtObject],MATCH($B38,xx_matrix[command],0)),"")</f>
        <v/>
      </c>
      <c r="N38" t="str">
        <f>IFERROR(INDEX(xx_matrix[Instructions],MATCH($B38,xx_matrix[command],0)),"")</f>
        <v/>
      </c>
    </row>
    <row r="39" spans="1:14">
      <c r="A39" s="19"/>
      <c r="D39" s="36" t="str">
        <f>IF(ISBLANK(B39),"",IF(ISERROR(MATCH(B39,xx_matrix[command],0)),FALSE,IF(ISTEXT(INDEX(xx_matrix[videoLink],MATCH(B39,xx_matrix[command],0),1)),HYPERLINK(INDEX(xx_matrix[videoLink],MATCH(B39,xx_matrix[command],0),1),"_YES_"),"YES")))</f>
        <v/>
      </c>
      <c r="J39" t="str">
        <f>IFERROR(INDEX(xx_matrix[SrcModel],MATCH($B39,xx_matrix[command],0)),"")</f>
        <v/>
      </c>
      <c r="K39" t="str">
        <f>IFERROR(INDEX(xx_matrix[SrcObject],MATCH($B39,xx_matrix[command],0)),"")</f>
        <v/>
      </c>
      <c r="L39" t="str">
        <f>IFERROR(INDEX(xx_matrix[TgtModel],MATCH($B39,xx_matrix[command],0)),"")</f>
        <v/>
      </c>
      <c r="M39" t="str">
        <f>IFERROR(INDEX(xx_matrix[TgtObject],MATCH($B39,xx_matrix[command],0)),"")</f>
        <v/>
      </c>
      <c r="N39" t="str">
        <f>IFERROR(INDEX(xx_matrix[Instructions],MATCH($B39,xx_matrix[command],0)),"")</f>
        <v/>
      </c>
    </row>
    <row r="40" spans="1:14">
      <c r="A40" s="19"/>
      <c r="D40" s="36" t="str">
        <f>IF(ISBLANK(B40),"",IF(ISERROR(MATCH(B40,xx_matrix[command],0)),FALSE,IF(ISTEXT(INDEX(xx_matrix[videoLink],MATCH(B40,xx_matrix[command],0),1)),HYPERLINK(INDEX(xx_matrix[videoLink],MATCH(B40,xx_matrix[command],0),1),"_YES_"),"YES")))</f>
        <v/>
      </c>
      <c r="J40" t="str">
        <f>IFERROR(INDEX(xx_matrix[SrcModel],MATCH($B40,xx_matrix[command],0)),"")</f>
        <v/>
      </c>
      <c r="K40" t="str">
        <f>IFERROR(INDEX(xx_matrix[SrcObject],MATCH($B40,xx_matrix[command],0)),"")</f>
        <v/>
      </c>
      <c r="L40" t="str">
        <f>IFERROR(INDEX(xx_matrix[TgtModel],MATCH($B40,xx_matrix[command],0)),"")</f>
        <v/>
      </c>
      <c r="M40" t="str">
        <f>IFERROR(INDEX(xx_matrix[TgtObject],MATCH($B40,xx_matrix[command],0)),"")</f>
        <v/>
      </c>
      <c r="N40" t="str">
        <f>IFERROR(INDEX(xx_matrix[Instructions],MATCH($B40,xx_matrix[command],0)),"")</f>
        <v/>
      </c>
    </row>
    <row r="41" spans="1:14">
      <c r="A41" s="19"/>
      <c r="D41" s="36" t="str">
        <f>IF(ISBLANK(B41),"",IF(ISERROR(MATCH(B41,xx_matrix[command],0)),FALSE,IF(ISTEXT(INDEX(xx_matrix[videoLink],MATCH(B41,xx_matrix[command],0),1)),HYPERLINK(INDEX(xx_matrix[videoLink],MATCH(B41,xx_matrix[command],0),1),"_YES_"),"YES")))</f>
        <v/>
      </c>
      <c r="J41" t="str">
        <f>IFERROR(INDEX(xx_matrix[SrcModel],MATCH($B41,xx_matrix[command],0)),"")</f>
        <v/>
      </c>
      <c r="K41" t="str">
        <f>IFERROR(INDEX(xx_matrix[SrcObject],MATCH($B41,xx_matrix[command],0)),"")</f>
        <v/>
      </c>
      <c r="L41" t="str">
        <f>IFERROR(INDEX(xx_matrix[TgtModel],MATCH($B41,xx_matrix[command],0)),"")</f>
        <v/>
      </c>
      <c r="M41" t="str">
        <f>IFERROR(INDEX(xx_matrix[TgtObject],MATCH($B41,xx_matrix[command],0)),"")</f>
        <v/>
      </c>
      <c r="N41" t="str">
        <f>IFERROR(INDEX(xx_matrix[Instructions],MATCH($B41,xx_matrix[command],0)),"")</f>
        <v/>
      </c>
    </row>
    <row r="42" spans="1:14">
      <c r="A42" s="19"/>
      <c r="D42" s="36" t="str">
        <f>IF(ISBLANK(B42),"",IF(ISERROR(MATCH(B42,xx_matrix[command],0)),FALSE,IF(ISTEXT(INDEX(xx_matrix[videoLink],MATCH(B42,xx_matrix[command],0),1)),HYPERLINK(INDEX(xx_matrix[videoLink],MATCH(B42,xx_matrix[command],0),1),"_YES_"),"YES")))</f>
        <v/>
      </c>
      <c r="J42" t="str">
        <f>IFERROR(INDEX(xx_matrix[SrcModel],MATCH($B42,xx_matrix[command],0)),"")</f>
        <v/>
      </c>
      <c r="K42" t="str">
        <f>IFERROR(INDEX(xx_matrix[SrcObject],MATCH($B42,xx_matrix[command],0)),"")</f>
        <v/>
      </c>
      <c r="L42" t="str">
        <f>IFERROR(INDEX(xx_matrix[TgtModel],MATCH($B42,xx_matrix[command],0)),"")</f>
        <v/>
      </c>
      <c r="M42" t="str">
        <f>IFERROR(INDEX(xx_matrix[TgtObject],MATCH($B42,xx_matrix[command],0)),"")</f>
        <v/>
      </c>
      <c r="N42" t="str">
        <f>IFERROR(INDEX(xx_matrix[Instructions],MATCH($B42,xx_matrix[command],0)),"")</f>
        <v/>
      </c>
    </row>
    <row r="43" spans="1:14">
      <c r="A43" s="19"/>
      <c r="D43" s="36" t="str">
        <f>IF(ISBLANK(B43),"",IF(ISERROR(MATCH(B43,xx_matrix[command],0)),FALSE,IF(ISTEXT(INDEX(xx_matrix[videoLink],MATCH(B43,xx_matrix[command],0),1)),HYPERLINK(INDEX(xx_matrix[videoLink],MATCH(B43,xx_matrix[command],0),1),"_YES_"),"YES")))</f>
        <v/>
      </c>
      <c r="J43" t="str">
        <f>IFERROR(INDEX(xx_matrix[SrcModel],MATCH($B43,xx_matrix[command],0)),"")</f>
        <v/>
      </c>
      <c r="K43" t="str">
        <f>IFERROR(INDEX(xx_matrix[SrcObject],MATCH($B43,xx_matrix[command],0)),"")</f>
        <v/>
      </c>
      <c r="L43" t="str">
        <f>IFERROR(INDEX(xx_matrix[TgtModel],MATCH($B43,xx_matrix[command],0)),"")</f>
        <v/>
      </c>
      <c r="M43" t="str">
        <f>IFERROR(INDEX(xx_matrix[TgtObject],MATCH($B43,xx_matrix[command],0)),"")</f>
        <v/>
      </c>
      <c r="N43" t="str">
        <f>IFERROR(INDEX(xx_matrix[Instructions],MATCH($B43,xx_matrix[command],0)),"")</f>
        <v/>
      </c>
    </row>
    <row r="44" spans="1:14">
      <c r="A44" s="19"/>
      <c r="D44" s="36" t="str">
        <f>IF(ISBLANK(B44),"",IF(ISERROR(MATCH(B44,xx_matrix[command],0)),FALSE,IF(ISTEXT(INDEX(xx_matrix[videoLink],MATCH(B44,xx_matrix[command],0),1)),HYPERLINK(INDEX(xx_matrix[videoLink],MATCH(B44,xx_matrix[command],0),1),"_YES_"),"YES")))</f>
        <v/>
      </c>
      <c r="J44" t="str">
        <f>IFERROR(INDEX(xx_matrix[SrcModel],MATCH($B44,xx_matrix[command],0)),"")</f>
        <v/>
      </c>
      <c r="K44" t="str">
        <f>IFERROR(INDEX(xx_matrix[SrcObject],MATCH($B44,xx_matrix[command],0)),"")</f>
        <v/>
      </c>
      <c r="L44" t="str">
        <f>IFERROR(INDEX(xx_matrix[TgtModel],MATCH($B44,xx_matrix[command],0)),"")</f>
        <v/>
      </c>
      <c r="M44" t="str">
        <f>IFERROR(INDEX(xx_matrix[TgtObject],MATCH($B44,xx_matrix[command],0)),"")</f>
        <v/>
      </c>
      <c r="N44" t="str">
        <f>IFERROR(INDEX(xx_matrix[Instructions],MATCH($B44,xx_matrix[command],0)),"")</f>
        <v/>
      </c>
    </row>
    <row r="45" spans="1:14">
      <c r="A45" s="19"/>
      <c r="D45" s="36" t="str">
        <f>IF(ISBLANK(B45),"",IF(ISERROR(MATCH(B45,xx_matrix[command],0)),FALSE,IF(ISTEXT(INDEX(xx_matrix[videoLink],MATCH(B45,xx_matrix[command],0),1)),HYPERLINK(INDEX(xx_matrix[videoLink],MATCH(B45,xx_matrix[command],0),1),"_YES_"),"YES")))</f>
        <v/>
      </c>
      <c r="J45" t="str">
        <f>IFERROR(INDEX(xx_matrix[SrcModel],MATCH($B45,xx_matrix[command],0)),"")</f>
        <v/>
      </c>
      <c r="K45" t="str">
        <f>IFERROR(INDEX(xx_matrix[SrcObject],MATCH($B45,xx_matrix[command],0)),"")</f>
        <v/>
      </c>
      <c r="L45" t="str">
        <f>IFERROR(INDEX(xx_matrix[TgtModel],MATCH($B45,xx_matrix[command],0)),"")</f>
        <v/>
      </c>
      <c r="M45" t="str">
        <f>IFERROR(INDEX(xx_matrix[TgtObject],MATCH($B45,xx_matrix[command],0)),"")</f>
        <v/>
      </c>
      <c r="N45" t="str">
        <f>IFERROR(INDEX(xx_matrix[Instructions],MATCH($B45,xx_matrix[command],0)),"")</f>
        <v/>
      </c>
    </row>
    <row r="46" spans="1:14">
      <c r="A46" s="19"/>
      <c r="D46" s="36" t="str">
        <f>IF(ISBLANK(B46),"",IF(ISERROR(MATCH(B46,xx_matrix[command],0)),FALSE,IF(ISTEXT(INDEX(xx_matrix[videoLink],MATCH(B46,xx_matrix[command],0),1)),HYPERLINK(INDEX(xx_matrix[videoLink],MATCH(B46,xx_matrix[command],0),1),"_YES_"),"YES")))</f>
        <v/>
      </c>
      <c r="J46" t="str">
        <f>IFERROR(INDEX(xx_matrix[SrcModel],MATCH($B46,xx_matrix[command],0)),"")</f>
        <v/>
      </c>
      <c r="K46" t="str">
        <f>IFERROR(INDEX(xx_matrix[SrcObject],MATCH($B46,xx_matrix[command],0)),"")</f>
        <v/>
      </c>
      <c r="L46" t="str">
        <f>IFERROR(INDEX(xx_matrix[TgtModel],MATCH($B46,xx_matrix[command],0)),"")</f>
        <v/>
      </c>
      <c r="M46" t="str">
        <f>IFERROR(INDEX(xx_matrix[TgtObject],MATCH($B46,xx_matrix[command],0)),"")</f>
        <v/>
      </c>
      <c r="N46" t="str">
        <f>IFERROR(INDEX(xx_matrix[Instructions],MATCH($B46,xx_matrix[command],0)),"")</f>
        <v/>
      </c>
    </row>
    <row r="47" spans="1:14">
      <c r="A47" s="19"/>
      <c r="D47" s="36" t="str">
        <f>IF(ISBLANK(B47),"",IF(ISERROR(MATCH(B47,xx_matrix[command],0)),FALSE,IF(ISTEXT(INDEX(xx_matrix[videoLink],MATCH(B47,xx_matrix[command],0),1)),HYPERLINK(INDEX(xx_matrix[videoLink],MATCH(B47,xx_matrix[command],0),1),"_YES_"),"YES")))</f>
        <v/>
      </c>
      <c r="J47" t="str">
        <f>IFERROR(INDEX(xx_matrix[SrcModel],MATCH($B47,xx_matrix[command],0)),"")</f>
        <v/>
      </c>
      <c r="K47" t="str">
        <f>IFERROR(INDEX(xx_matrix[SrcObject],MATCH($B47,xx_matrix[command],0)),"")</f>
        <v/>
      </c>
      <c r="L47" t="str">
        <f>IFERROR(INDEX(xx_matrix[TgtModel],MATCH($B47,xx_matrix[command],0)),"")</f>
        <v/>
      </c>
      <c r="M47" t="str">
        <f>IFERROR(INDEX(xx_matrix[TgtObject],MATCH($B47,xx_matrix[command],0)),"")</f>
        <v/>
      </c>
      <c r="N47" t="str">
        <f>IFERROR(INDEX(xx_matrix[Instructions],MATCH($B47,xx_matrix[command],0)),"")</f>
        <v/>
      </c>
    </row>
    <row r="48" spans="1:14">
      <c r="A48" s="19"/>
      <c r="D48" s="36" t="str">
        <f>IF(ISBLANK(B48),"",IF(ISERROR(MATCH(B48,xx_matrix[command],0)),FALSE,IF(ISTEXT(INDEX(xx_matrix[videoLink],MATCH(B48,xx_matrix[command],0),1)),HYPERLINK(INDEX(xx_matrix[videoLink],MATCH(B48,xx_matrix[command],0),1),"_YES_"),"YES")))</f>
        <v/>
      </c>
      <c r="J48" t="str">
        <f>IFERROR(INDEX(xx_matrix[SrcModel],MATCH($B48,xx_matrix[command],0)),"")</f>
        <v/>
      </c>
      <c r="K48" t="str">
        <f>IFERROR(INDEX(xx_matrix[SrcObject],MATCH($B48,xx_matrix[command],0)),"")</f>
        <v/>
      </c>
      <c r="L48" t="str">
        <f>IFERROR(INDEX(xx_matrix[TgtModel],MATCH($B48,xx_matrix[command],0)),"")</f>
        <v/>
      </c>
      <c r="M48" t="str">
        <f>IFERROR(INDEX(xx_matrix[TgtObject],MATCH($B48,xx_matrix[command],0)),"")</f>
        <v/>
      </c>
      <c r="N48" t="str">
        <f>IFERROR(INDEX(xx_matrix[Instructions],MATCH($B48,xx_matrix[command],0)),"")</f>
        <v/>
      </c>
    </row>
    <row r="49" spans="1:14">
      <c r="A49" s="19"/>
      <c r="D49" s="36" t="str">
        <f>IF(ISBLANK(B49),"",IF(ISERROR(MATCH(B49,xx_matrix[command],0)),FALSE,IF(ISTEXT(INDEX(xx_matrix[videoLink],MATCH(B49,xx_matrix[command],0),1)),HYPERLINK(INDEX(xx_matrix[videoLink],MATCH(B49,xx_matrix[command],0),1),"_YES_"),"YES")))</f>
        <v/>
      </c>
      <c r="J49" t="str">
        <f>IFERROR(INDEX(xx_matrix[SrcModel],MATCH($B49,xx_matrix[command],0)),"")</f>
        <v/>
      </c>
      <c r="K49" t="str">
        <f>IFERROR(INDEX(xx_matrix[SrcObject],MATCH($B49,xx_matrix[command],0)),"")</f>
        <v/>
      </c>
      <c r="L49" t="str">
        <f>IFERROR(INDEX(xx_matrix[TgtModel],MATCH($B49,xx_matrix[command],0)),"")</f>
        <v/>
      </c>
      <c r="M49" t="str">
        <f>IFERROR(INDEX(xx_matrix[TgtObject],MATCH($B49,xx_matrix[command],0)),"")</f>
        <v/>
      </c>
      <c r="N49" t="str">
        <f>IFERROR(INDEX(xx_matrix[Instructions],MATCH($B49,xx_matrix[command],0)),"")</f>
        <v/>
      </c>
    </row>
    <row r="50" spans="1:14">
      <c r="A50" s="19"/>
      <c r="D50" s="36" t="str">
        <f>IF(ISBLANK(B50),"",IF(ISERROR(MATCH(B50,xx_matrix[command],0)),FALSE,IF(ISTEXT(INDEX(xx_matrix[videoLink],MATCH(B50,xx_matrix[command],0),1)),HYPERLINK(INDEX(xx_matrix[videoLink],MATCH(B50,xx_matrix[command],0),1),"_YES_"),"YES")))</f>
        <v/>
      </c>
      <c r="J50" t="str">
        <f>IFERROR(INDEX(xx_matrix[SrcModel],MATCH($B50,xx_matrix[command],0)),"")</f>
        <v/>
      </c>
      <c r="K50" t="str">
        <f>IFERROR(INDEX(xx_matrix[SrcObject],MATCH($B50,xx_matrix[command],0)),"")</f>
        <v/>
      </c>
      <c r="L50" t="str">
        <f>IFERROR(INDEX(xx_matrix[TgtModel],MATCH($B50,xx_matrix[command],0)),"")</f>
        <v/>
      </c>
      <c r="M50" t="str">
        <f>IFERROR(INDEX(xx_matrix[TgtObject],MATCH($B50,xx_matrix[command],0)),"")</f>
        <v/>
      </c>
      <c r="N50" t="str">
        <f>IFERROR(INDEX(xx_matrix[Instructions],MATCH($B50,xx_matrix[command],0)),"")</f>
        <v/>
      </c>
    </row>
    <row r="51" spans="1:14">
      <c r="A51" s="19"/>
      <c r="D51" s="36" t="str">
        <f>IF(ISBLANK(B51),"",IF(ISERROR(MATCH(B51,xx_matrix[command],0)),FALSE,IF(ISTEXT(INDEX(xx_matrix[videoLink],MATCH(B51,xx_matrix[command],0),1)),HYPERLINK(INDEX(xx_matrix[videoLink],MATCH(B51,xx_matrix[command],0),1),"_YES_"),"YES")))</f>
        <v/>
      </c>
      <c r="J51" t="str">
        <f>IFERROR(INDEX(xx_matrix[SrcModel],MATCH($B51,xx_matrix[command],0)),"")</f>
        <v/>
      </c>
      <c r="K51" t="str">
        <f>IFERROR(INDEX(xx_matrix[SrcObject],MATCH($B51,xx_matrix[command],0)),"")</f>
        <v/>
      </c>
      <c r="L51" t="str">
        <f>IFERROR(INDEX(xx_matrix[TgtModel],MATCH($B51,xx_matrix[command],0)),"")</f>
        <v/>
      </c>
      <c r="M51" t="str">
        <f>IFERROR(INDEX(xx_matrix[TgtObject],MATCH($B51,xx_matrix[command],0)),"")</f>
        <v/>
      </c>
      <c r="N51" t="str">
        <f>IFERROR(INDEX(xx_matrix[Instructions],MATCH($B51,xx_matrix[command],0)),"")</f>
        <v/>
      </c>
    </row>
    <row r="52" spans="1:14">
      <c r="A52" s="19"/>
      <c r="D52" s="36" t="str">
        <f>IF(ISBLANK(B52),"",IF(ISERROR(MATCH(B52,xx_matrix[command],0)),FALSE,IF(ISTEXT(INDEX(xx_matrix[videoLink],MATCH(B52,xx_matrix[command],0),1)),HYPERLINK(INDEX(xx_matrix[videoLink],MATCH(B52,xx_matrix[command],0),1),"_YES_"),"YES")))</f>
        <v/>
      </c>
      <c r="J52" t="str">
        <f>IFERROR(INDEX(xx_matrix[SrcModel],MATCH($B52,xx_matrix[command],0)),"")</f>
        <v/>
      </c>
      <c r="K52" t="str">
        <f>IFERROR(INDEX(xx_matrix[SrcObject],MATCH($B52,xx_matrix[command],0)),"")</f>
        <v/>
      </c>
      <c r="L52" t="str">
        <f>IFERROR(INDEX(xx_matrix[TgtModel],MATCH($B52,xx_matrix[command],0)),"")</f>
        <v/>
      </c>
      <c r="M52" t="str">
        <f>IFERROR(INDEX(xx_matrix[TgtObject],MATCH($B52,xx_matrix[command],0)),"")</f>
        <v/>
      </c>
      <c r="N52" t="str">
        <f>IFERROR(INDEX(xx_matrix[Instructions],MATCH($B52,xx_matrix[command],0)),"")</f>
        <v/>
      </c>
    </row>
    <row r="53" spans="1:14">
      <c r="A53" s="19"/>
      <c r="D53" s="36" t="str">
        <f>IF(ISBLANK(B53),"",IF(ISERROR(MATCH(B53,xx_matrix[command],0)),FALSE,IF(ISTEXT(INDEX(xx_matrix[videoLink],MATCH(B53,xx_matrix[command],0),1)),HYPERLINK(INDEX(xx_matrix[videoLink],MATCH(B53,xx_matrix[command],0),1),"_YES_"),"YES")))</f>
        <v/>
      </c>
      <c r="J53" t="str">
        <f>IFERROR(INDEX(xx_matrix[SrcModel],MATCH($B53,xx_matrix[command],0)),"")</f>
        <v/>
      </c>
      <c r="K53" t="str">
        <f>IFERROR(INDEX(xx_matrix[SrcObject],MATCH($B53,xx_matrix[command],0)),"")</f>
        <v/>
      </c>
      <c r="L53" t="str">
        <f>IFERROR(INDEX(xx_matrix[TgtModel],MATCH($B53,xx_matrix[command],0)),"")</f>
        <v/>
      </c>
      <c r="M53" t="str">
        <f>IFERROR(INDEX(xx_matrix[TgtObject],MATCH($B53,xx_matrix[command],0)),"")</f>
        <v/>
      </c>
      <c r="N53" t="str">
        <f>IFERROR(INDEX(xx_matrix[Instructions],MATCH($B53,xx_matrix[command],0)),"")</f>
        <v/>
      </c>
    </row>
    <row r="54" spans="1:14">
      <c r="A54" s="19"/>
      <c r="D54" s="36" t="str">
        <f>IF(ISBLANK(B54),"",IF(ISERROR(MATCH(B54,xx_matrix[command],0)),FALSE,IF(ISTEXT(INDEX(xx_matrix[videoLink],MATCH(B54,xx_matrix[command],0),1)),HYPERLINK(INDEX(xx_matrix[videoLink],MATCH(B54,xx_matrix[command],0),1),"_YES_"),"YES")))</f>
        <v/>
      </c>
      <c r="J54" t="str">
        <f>IFERROR(INDEX(xx_matrix[SrcModel],MATCH($B54,xx_matrix[command],0)),"")</f>
        <v/>
      </c>
      <c r="K54" t="str">
        <f>IFERROR(INDEX(xx_matrix[SrcObject],MATCH($B54,xx_matrix[command],0)),"")</f>
        <v/>
      </c>
      <c r="L54" t="str">
        <f>IFERROR(INDEX(xx_matrix[TgtModel],MATCH($B54,xx_matrix[command],0)),"")</f>
        <v/>
      </c>
      <c r="M54" t="str">
        <f>IFERROR(INDEX(xx_matrix[TgtObject],MATCH($B54,xx_matrix[command],0)),"")</f>
        <v/>
      </c>
      <c r="N54" t="str">
        <f>IFERROR(INDEX(xx_matrix[Instructions],MATCH($B54,xx_matrix[command],0)),"")</f>
        <v/>
      </c>
    </row>
    <row r="55" spans="1:14">
      <c r="A55" s="19"/>
      <c r="D55" s="36" t="str">
        <f>IF(ISBLANK(B55),"",IF(ISERROR(MATCH(B55,xx_matrix[command],0)),FALSE,IF(ISTEXT(INDEX(xx_matrix[videoLink],MATCH(B55,xx_matrix[command],0),1)),HYPERLINK(INDEX(xx_matrix[videoLink],MATCH(B55,xx_matrix[command],0),1),"_YES_"),"YES")))</f>
        <v/>
      </c>
      <c r="J55" t="str">
        <f>IFERROR(INDEX(xx_matrix[SrcModel],MATCH($B55,xx_matrix[command],0)),"")</f>
        <v/>
      </c>
      <c r="K55" t="str">
        <f>IFERROR(INDEX(xx_matrix[SrcObject],MATCH($B55,xx_matrix[command],0)),"")</f>
        <v/>
      </c>
      <c r="L55" t="str">
        <f>IFERROR(INDEX(xx_matrix[TgtModel],MATCH($B55,xx_matrix[command],0)),"")</f>
        <v/>
      </c>
      <c r="M55" t="str">
        <f>IFERROR(INDEX(xx_matrix[TgtObject],MATCH($B55,xx_matrix[command],0)),"")</f>
        <v/>
      </c>
      <c r="N55" t="str">
        <f>IFERROR(INDEX(xx_matrix[Instructions],MATCH($B55,xx_matrix[command],0)),"")</f>
        <v/>
      </c>
    </row>
    <row r="56" spans="1:14">
      <c r="A56" s="19"/>
      <c r="D56" s="36" t="str">
        <f>IF(ISBLANK(B56),"",IF(ISERROR(MATCH(B56,xx_matrix[command],0)),FALSE,IF(ISTEXT(INDEX(xx_matrix[videoLink],MATCH(B56,xx_matrix[command],0),1)),HYPERLINK(INDEX(xx_matrix[videoLink],MATCH(B56,xx_matrix[command],0),1),"_YES_"),"YES")))</f>
        <v/>
      </c>
      <c r="J56" t="str">
        <f>IFERROR(INDEX(xx_matrix[SrcModel],MATCH($B56,xx_matrix[command],0)),"")</f>
        <v/>
      </c>
      <c r="K56" t="str">
        <f>IFERROR(INDEX(xx_matrix[SrcObject],MATCH($B56,xx_matrix[command],0)),"")</f>
        <v/>
      </c>
      <c r="L56" t="str">
        <f>IFERROR(INDEX(xx_matrix[TgtModel],MATCH($B56,xx_matrix[command],0)),"")</f>
        <v/>
      </c>
      <c r="M56" t="str">
        <f>IFERROR(INDEX(xx_matrix[TgtObject],MATCH($B56,xx_matrix[command],0)),"")</f>
        <v/>
      </c>
      <c r="N56" t="str">
        <f>IFERROR(INDEX(xx_matrix[Instructions],MATCH($B56,xx_matrix[command],0)),"")</f>
        <v/>
      </c>
    </row>
    <row r="57" spans="1:14">
      <c r="A57" s="19"/>
      <c r="D57" s="36" t="str">
        <f>IF(ISBLANK(B57),"",IF(ISERROR(MATCH(B57,xx_matrix[command],0)),FALSE,IF(ISTEXT(INDEX(xx_matrix[videoLink],MATCH(B57,xx_matrix[command],0),1)),HYPERLINK(INDEX(xx_matrix[videoLink],MATCH(B57,xx_matrix[command],0),1),"_YES_"),"YES")))</f>
        <v/>
      </c>
      <c r="J57" t="str">
        <f>IFERROR(INDEX(xx_matrix[SrcModel],MATCH($B57,xx_matrix[command],0)),"")</f>
        <v/>
      </c>
      <c r="K57" t="str">
        <f>IFERROR(INDEX(xx_matrix[SrcObject],MATCH($B57,xx_matrix[command],0)),"")</f>
        <v/>
      </c>
      <c r="L57" t="str">
        <f>IFERROR(INDEX(xx_matrix[TgtModel],MATCH($B57,xx_matrix[command],0)),"")</f>
        <v/>
      </c>
      <c r="M57" t="str">
        <f>IFERROR(INDEX(xx_matrix[TgtObject],MATCH($B57,xx_matrix[command],0)),"")</f>
        <v/>
      </c>
      <c r="N57" t="str">
        <f>IFERROR(INDEX(xx_matrix[Instructions],MATCH($B57,xx_matrix[command],0)),"")</f>
        <v/>
      </c>
    </row>
    <row r="58" spans="1:14">
      <c r="A58" s="19"/>
      <c r="D58" s="36" t="str">
        <f>IF(ISBLANK(B58),"",IF(ISERROR(MATCH(B58,xx_matrix[command],0)),FALSE,IF(ISTEXT(INDEX(xx_matrix[videoLink],MATCH(B58,xx_matrix[command],0),1)),HYPERLINK(INDEX(xx_matrix[videoLink],MATCH(B58,xx_matrix[command],0),1),"_YES_"),"YES")))</f>
        <v/>
      </c>
      <c r="J58" t="str">
        <f>IFERROR(INDEX(xx_matrix[SrcModel],MATCH($B58,xx_matrix[command],0)),"")</f>
        <v/>
      </c>
      <c r="K58" t="str">
        <f>IFERROR(INDEX(xx_matrix[SrcObject],MATCH($B58,xx_matrix[command],0)),"")</f>
        <v/>
      </c>
      <c r="L58" t="str">
        <f>IFERROR(INDEX(xx_matrix[TgtModel],MATCH($B58,xx_matrix[command],0)),"")</f>
        <v/>
      </c>
      <c r="M58" t="str">
        <f>IFERROR(INDEX(xx_matrix[TgtObject],MATCH($B58,xx_matrix[command],0)),"")</f>
        <v/>
      </c>
      <c r="N58" t="str">
        <f>IFERROR(INDEX(xx_matrix[Instructions],MATCH($B58,xx_matrix[command],0)),"")</f>
        <v/>
      </c>
    </row>
    <row r="59" spans="1:14">
      <c r="A59" s="19"/>
      <c r="D59" s="36" t="str">
        <f>IF(ISBLANK(B59),"",IF(ISERROR(MATCH(B59,xx_matrix[command],0)),FALSE,IF(ISTEXT(INDEX(xx_matrix[videoLink],MATCH(B59,xx_matrix[command],0),1)),HYPERLINK(INDEX(xx_matrix[videoLink],MATCH(B59,xx_matrix[command],0),1),"_YES_"),"YES")))</f>
        <v/>
      </c>
      <c r="J59" t="str">
        <f>IFERROR(INDEX(xx_matrix[SrcModel],MATCH($B59,xx_matrix[command],0)),"")</f>
        <v/>
      </c>
      <c r="K59" t="str">
        <f>IFERROR(INDEX(xx_matrix[SrcObject],MATCH($B59,xx_matrix[command],0)),"")</f>
        <v/>
      </c>
      <c r="L59" t="str">
        <f>IFERROR(INDEX(xx_matrix[TgtModel],MATCH($B59,xx_matrix[command],0)),"")</f>
        <v/>
      </c>
      <c r="M59" t="str">
        <f>IFERROR(INDEX(xx_matrix[TgtObject],MATCH($B59,xx_matrix[command],0)),"")</f>
        <v/>
      </c>
      <c r="N59" t="str">
        <f>IFERROR(INDEX(xx_matrix[Instructions],MATCH($B59,xx_matrix[command],0)),"")</f>
        <v/>
      </c>
    </row>
    <row r="60" spans="1:14">
      <c r="A60" s="19"/>
      <c r="D60" s="36" t="str">
        <f>IF(ISBLANK(B60),"",IF(ISERROR(MATCH(B60,xx_matrix[command],0)),FALSE,IF(ISTEXT(INDEX(xx_matrix[videoLink],MATCH(B60,xx_matrix[command],0),1)),HYPERLINK(INDEX(xx_matrix[videoLink],MATCH(B60,xx_matrix[command],0),1),"_YES_"),"YES")))</f>
        <v/>
      </c>
      <c r="J60" t="str">
        <f>IFERROR(INDEX(xx_matrix[SrcModel],MATCH($B60,xx_matrix[command],0)),"")</f>
        <v/>
      </c>
      <c r="K60" t="str">
        <f>IFERROR(INDEX(xx_matrix[SrcObject],MATCH($B60,xx_matrix[command],0)),"")</f>
        <v/>
      </c>
      <c r="L60" t="str">
        <f>IFERROR(INDEX(xx_matrix[TgtModel],MATCH($B60,xx_matrix[command],0)),"")</f>
        <v/>
      </c>
      <c r="M60" t="str">
        <f>IFERROR(INDEX(xx_matrix[TgtObject],MATCH($B60,xx_matrix[command],0)),"")</f>
        <v/>
      </c>
      <c r="N60" t="str">
        <f>IFERROR(INDEX(xx_matrix[Instructions],MATCH($B60,xx_matrix[command],0)),"")</f>
        <v/>
      </c>
    </row>
    <row r="61" spans="1:14">
      <c r="A61" s="19"/>
      <c r="D61" s="36" t="str">
        <f>IF(ISBLANK(B61),"",IF(ISERROR(MATCH(B61,xx_matrix[command],0)),FALSE,IF(ISTEXT(INDEX(xx_matrix[videoLink],MATCH(B61,xx_matrix[command],0),1)),HYPERLINK(INDEX(xx_matrix[videoLink],MATCH(B61,xx_matrix[command],0),1),"_YES_"),"YES")))</f>
        <v/>
      </c>
      <c r="J61" t="str">
        <f>IFERROR(INDEX(xx_matrix[SrcModel],MATCH($B61,xx_matrix[command],0)),"")</f>
        <v/>
      </c>
      <c r="K61" t="str">
        <f>IFERROR(INDEX(xx_matrix[SrcObject],MATCH($B61,xx_matrix[command],0)),"")</f>
        <v/>
      </c>
      <c r="L61" t="str">
        <f>IFERROR(INDEX(xx_matrix[TgtModel],MATCH($B61,xx_matrix[command],0)),"")</f>
        <v/>
      </c>
      <c r="M61" t="str">
        <f>IFERROR(INDEX(xx_matrix[TgtObject],MATCH($B61,xx_matrix[command],0)),"")</f>
        <v/>
      </c>
      <c r="N61" t="str">
        <f>IFERROR(INDEX(xx_matrix[Instructions],MATCH($B61,xx_matrix[command],0)),"")</f>
        <v/>
      </c>
    </row>
    <row r="62" spans="1:14">
      <c r="A62" s="19"/>
      <c r="D62" s="36" t="str">
        <f>IF(ISBLANK(B62),"",IF(ISERROR(MATCH(B62,xx_matrix[command],0)),FALSE,IF(ISTEXT(INDEX(xx_matrix[videoLink],MATCH(B62,xx_matrix[command],0),1)),HYPERLINK(INDEX(xx_matrix[videoLink],MATCH(B62,xx_matrix[command],0),1),"_YES_"),"YES")))</f>
        <v/>
      </c>
      <c r="J62" t="str">
        <f>IFERROR(INDEX(xx_matrix[SrcModel],MATCH($B62,xx_matrix[command],0)),"")</f>
        <v/>
      </c>
      <c r="K62" t="str">
        <f>IFERROR(INDEX(xx_matrix[SrcObject],MATCH($B62,xx_matrix[command],0)),"")</f>
        <v/>
      </c>
      <c r="L62" t="str">
        <f>IFERROR(INDEX(xx_matrix[TgtModel],MATCH($B62,xx_matrix[command],0)),"")</f>
        <v/>
      </c>
      <c r="M62" t="str">
        <f>IFERROR(INDEX(xx_matrix[TgtObject],MATCH($B62,xx_matrix[command],0)),"")</f>
        <v/>
      </c>
      <c r="N62" t="str">
        <f>IFERROR(INDEX(xx_matrix[Instructions],MATCH($B62,xx_matrix[command],0)),"")</f>
        <v/>
      </c>
    </row>
    <row r="63" spans="1:14">
      <c r="A63" s="19"/>
      <c r="D63" s="36" t="str">
        <f>IF(ISBLANK(B63),"",IF(ISERROR(MATCH(B63,xx_matrix[command],0)),FALSE,IF(ISTEXT(INDEX(xx_matrix[videoLink],MATCH(B63,xx_matrix[command],0),1)),HYPERLINK(INDEX(xx_matrix[videoLink],MATCH(B63,xx_matrix[command],0),1),"_YES_"),"YES")))</f>
        <v/>
      </c>
      <c r="J63" t="str">
        <f>IFERROR(INDEX(xx_matrix[SrcModel],MATCH($B63,xx_matrix[command],0)),"")</f>
        <v/>
      </c>
      <c r="K63" t="str">
        <f>IFERROR(INDEX(xx_matrix[SrcObject],MATCH($B63,xx_matrix[command],0)),"")</f>
        <v/>
      </c>
      <c r="L63" t="str">
        <f>IFERROR(INDEX(xx_matrix[TgtModel],MATCH($B63,xx_matrix[command],0)),"")</f>
        <v/>
      </c>
      <c r="M63" t="str">
        <f>IFERROR(INDEX(xx_matrix[TgtObject],MATCH($B63,xx_matrix[command],0)),"")</f>
        <v/>
      </c>
      <c r="N63" t="str">
        <f>IFERROR(INDEX(xx_matrix[Instructions],MATCH($B63,xx_matrix[command],0)),"")</f>
        <v/>
      </c>
    </row>
    <row r="64" spans="1:14">
      <c r="A64" s="19"/>
      <c r="D64" s="36" t="str">
        <f>IF(ISBLANK(B64),"",IF(ISERROR(MATCH(B64,xx_matrix[command],0)),FALSE,IF(ISTEXT(INDEX(xx_matrix[videoLink],MATCH(B64,xx_matrix[command],0),1)),HYPERLINK(INDEX(xx_matrix[videoLink],MATCH(B64,xx_matrix[command],0),1),"_YES_"),"YES")))</f>
        <v/>
      </c>
      <c r="J64" t="str">
        <f>IFERROR(INDEX(xx_matrix[SrcModel],MATCH($B64,xx_matrix[command],0)),"")</f>
        <v/>
      </c>
      <c r="K64" t="str">
        <f>IFERROR(INDEX(xx_matrix[SrcObject],MATCH($B64,xx_matrix[command],0)),"")</f>
        <v/>
      </c>
      <c r="L64" t="str">
        <f>IFERROR(INDEX(xx_matrix[TgtModel],MATCH($B64,xx_matrix[command],0)),"")</f>
        <v/>
      </c>
      <c r="M64" t="str">
        <f>IFERROR(INDEX(xx_matrix[TgtObject],MATCH($B64,xx_matrix[command],0)),"")</f>
        <v/>
      </c>
      <c r="N64" t="str">
        <f>IFERROR(INDEX(xx_matrix[Instructions],MATCH($B64,xx_matrix[command],0)),"")</f>
        <v/>
      </c>
    </row>
    <row r="65" spans="1:14">
      <c r="A65" s="19"/>
      <c r="D65" s="36" t="str">
        <f>IF(ISBLANK(B65),"",IF(ISERROR(MATCH(B65,xx_matrix[command],0)),FALSE,IF(ISTEXT(INDEX(xx_matrix[videoLink],MATCH(B65,xx_matrix[command],0),1)),HYPERLINK(INDEX(xx_matrix[videoLink],MATCH(B65,xx_matrix[command],0),1),"_YES_"),"YES")))</f>
        <v/>
      </c>
      <c r="J65" t="str">
        <f>IFERROR(INDEX(xx_matrix[SrcModel],MATCH($B65,xx_matrix[command],0)),"")</f>
        <v/>
      </c>
      <c r="K65" t="str">
        <f>IFERROR(INDEX(xx_matrix[SrcObject],MATCH($B65,xx_matrix[command],0)),"")</f>
        <v/>
      </c>
      <c r="L65" t="str">
        <f>IFERROR(INDEX(xx_matrix[TgtModel],MATCH($B65,xx_matrix[command],0)),"")</f>
        <v/>
      </c>
      <c r="M65" t="str">
        <f>IFERROR(INDEX(xx_matrix[TgtObject],MATCH($B65,xx_matrix[command],0)),"")</f>
        <v/>
      </c>
      <c r="N65" t="str">
        <f>IFERROR(INDEX(xx_matrix[Instructions],MATCH($B65,xx_matrix[command],0)),"")</f>
        <v/>
      </c>
    </row>
    <row r="66" spans="1:14">
      <c r="A66" s="19"/>
      <c r="D66" s="36" t="str">
        <f>IF(ISBLANK(B66),"",IF(ISERROR(MATCH(B66,xx_matrix[command],0)),FALSE,IF(ISTEXT(INDEX(xx_matrix[videoLink],MATCH(B66,xx_matrix[command],0),1)),HYPERLINK(INDEX(xx_matrix[videoLink],MATCH(B66,xx_matrix[command],0),1),"_YES_"),"YES")))</f>
        <v/>
      </c>
      <c r="J66" t="str">
        <f>IFERROR(INDEX(xx_matrix[SrcModel],MATCH($B66,xx_matrix[command],0)),"")</f>
        <v/>
      </c>
      <c r="K66" t="str">
        <f>IFERROR(INDEX(xx_matrix[SrcObject],MATCH($B66,xx_matrix[command],0)),"")</f>
        <v/>
      </c>
      <c r="L66" t="str">
        <f>IFERROR(INDEX(xx_matrix[TgtModel],MATCH($B66,xx_matrix[command],0)),"")</f>
        <v/>
      </c>
      <c r="M66" t="str">
        <f>IFERROR(INDEX(xx_matrix[TgtObject],MATCH($B66,xx_matrix[command],0)),"")</f>
        <v/>
      </c>
      <c r="N66" t="str">
        <f>IFERROR(INDEX(xx_matrix[Instructions],MATCH($B66,xx_matrix[command],0)),"")</f>
        <v/>
      </c>
    </row>
    <row r="67" spans="1:14">
      <c r="A67" s="19"/>
      <c r="D67" s="36" t="str">
        <f>IF(ISBLANK(B67),"",IF(ISERROR(MATCH(B67,xx_matrix[command],0)),FALSE,IF(ISTEXT(INDEX(xx_matrix[videoLink],MATCH(B67,xx_matrix[command],0),1)),HYPERLINK(INDEX(xx_matrix[videoLink],MATCH(B67,xx_matrix[command],0),1),"_YES_"),"YES")))</f>
        <v/>
      </c>
      <c r="J67" t="str">
        <f>IFERROR(INDEX(xx_matrix[SrcModel],MATCH($B67,xx_matrix[command],0)),"")</f>
        <v/>
      </c>
      <c r="K67" t="str">
        <f>IFERROR(INDEX(xx_matrix[SrcObject],MATCH($B67,xx_matrix[command],0)),"")</f>
        <v/>
      </c>
      <c r="L67" t="str">
        <f>IFERROR(INDEX(xx_matrix[TgtModel],MATCH($B67,xx_matrix[command],0)),"")</f>
        <v/>
      </c>
      <c r="M67" t="str">
        <f>IFERROR(INDEX(xx_matrix[TgtObject],MATCH($B67,xx_matrix[command],0)),"")</f>
        <v/>
      </c>
      <c r="N67" t="str">
        <f>IFERROR(INDEX(xx_matrix[Instructions],MATCH($B67,xx_matrix[command],0)),"")</f>
        <v/>
      </c>
    </row>
    <row r="68" spans="1:14">
      <c r="A68" s="19"/>
      <c r="D68" s="36" t="str">
        <f>IF(ISBLANK(B68),"",IF(ISERROR(MATCH(B68,xx_matrix[command],0)),FALSE,IF(ISTEXT(INDEX(xx_matrix[videoLink],MATCH(B68,xx_matrix[command],0),1)),HYPERLINK(INDEX(xx_matrix[videoLink],MATCH(B68,xx_matrix[command],0),1),"_YES_"),"YES")))</f>
        <v/>
      </c>
      <c r="J68" t="str">
        <f>IFERROR(INDEX(xx_matrix[SrcModel],MATCH($B68,xx_matrix[command],0)),"")</f>
        <v/>
      </c>
      <c r="K68" t="str">
        <f>IFERROR(INDEX(xx_matrix[SrcObject],MATCH($B68,xx_matrix[command],0)),"")</f>
        <v/>
      </c>
      <c r="L68" t="str">
        <f>IFERROR(INDEX(xx_matrix[TgtModel],MATCH($B68,xx_matrix[command],0)),"")</f>
        <v/>
      </c>
      <c r="M68" t="str">
        <f>IFERROR(INDEX(xx_matrix[TgtObject],MATCH($B68,xx_matrix[command],0)),"")</f>
        <v/>
      </c>
      <c r="N68" t="str">
        <f>IFERROR(INDEX(xx_matrix[Instructions],MATCH($B68,xx_matrix[command],0)),"")</f>
        <v/>
      </c>
    </row>
    <row r="69" spans="1:14">
      <c r="A69" s="19"/>
      <c r="D69" s="36" t="str">
        <f>IF(ISBLANK(B69),"",IF(ISERROR(MATCH(B69,xx_matrix[command],0)),FALSE,IF(ISTEXT(INDEX(xx_matrix[videoLink],MATCH(B69,xx_matrix[command],0),1)),HYPERLINK(INDEX(xx_matrix[videoLink],MATCH(B69,xx_matrix[command],0),1),"_YES_"),"YES")))</f>
        <v/>
      </c>
      <c r="J69" t="str">
        <f>IFERROR(INDEX(xx_matrix[SrcModel],MATCH($B69,xx_matrix[command],0)),"")</f>
        <v/>
      </c>
      <c r="K69" t="str">
        <f>IFERROR(INDEX(xx_matrix[SrcObject],MATCH($B69,xx_matrix[command],0)),"")</f>
        <v/>
      </c>
      <c r="L69" t="str">
        <f>IFERROR(INDEX(xx_matrix[TgtModel],MATCH($B69,xx_matrix[command],0)),"")</f>
        <v/>
      </c>
      <c r="M69" t="str">
        <f>IFERROR(INDEX(xx_matrix[TgtObject],MATCH($B69,xx_matrix[command],0)),"")</f>
        <v/>
      </c>
      <c r="N69" t="str">
        <f>IFERROR(INDEX(xx_matrix[Instructions],MATCH($B69,xx_matrix[command],0)),"")</f>
        <v/>
      </c>
    </row>
    <row r="70" spans="1:14">
      <c r="A70" s="19"/>
      <c r="D70" s="36" t="str">
        <f>IF(ISBLANK(B70),"",IF(ISERROR(MATCH(B70,xx_matrix[command],0)),FALSE,IF(ISTEXT(INDEX(xx_matrix[videoLink],MATCH(B70,xx_matrix[command],0),1)),HYPERLINK(INDEX(xx_matrix[videoLink],MATCH(B70,xx_matrix[command],0),1),"_YES_"),"YES")))</f>
        <v/>
      </c>
      <c r="J70" t="str">
        <f>IFERROR(INDEX(xx_matrix[SrcModel],MATCH($B70,xx_matrix[command],0)),"")</f>
        <v/>
      </c>
      <c r="K70" t="str">
        <f>IFERROR(INDEX(xx_matrix[SrcObject],MATCH($B70,xx_matrix[command],0)),"")</f>
        <v/>
      </c>
      <c r="L70" t="str">
        <f>IFERROR(INDEX(xx_matrix[TgtModel],MATCH($B70,xx_matrix[command],0)),"")</f>
        <v/>
      </c>
      <c r="M70" t="str">
        <f>IFERROR(INDEX(xx_matrix[TgtObject],MATCH($B70,xx_matrix[command],0)),"")</f>
        <v/>
      </c>
      <c r="N70" t="str">
        <f>IFERROR(INDEX(xx_matrix[Instructions],MATCH($B70,xx_matrix[command],0)),"")</f>
        <v/>
      </c>
    </row>
    <row r="71" spans="1:14">
      <c r="A71" s="19"/>
      <c r="D71" s="36" t="str">
        <f>IF(ISBLANK(B71),"",IF(ISERROR(MATCH(B71,xx_matrix[command],0)),FALSE,IF(ISTEXT(INDEX(xx_matrix[videoLink],MATCH(B71,xx_matrix[command],0),1)),HYPERLINK(INDEX(xx_matrix[videoLink],MATCH(B71,xx_matrix[command],0),1),"_YES_"),"YES")))</f>
        <v/>
      </c>
      <c r="J71" t="str">
        <f>IFERROR(INDEX(xx_matrix[SrcModel],MATCH($B71,xx_matrix[command],0)),"")</f>
        <v/>
      </c>
      <c r="K71" t="str">
        <f>IFERROR(INDEX(xx_matrix[SrcObject],MATCH($B71,xx_matrix[command],0)),"")</f>
        <v/>
      </c>
      <c r="L71" t="str">
        <f>IFERROR(INDEX(xx_matrix[TgtModel],MATCH($B71,xx_matrix[command],0)),"")</f>
        <v/>
      </c>
      <c r="M71" t="str">
        <f>IFERROR(INDEX(xx_matrix[TgtObject],MATCH($B71,xx_matrix[command],0)),"")</f>
        <v/>
      </c>
      <c r="N71" t="str">
        <f>IFERROR(INDEX(xx_matrix[Instructions],MATCH($B71,xx_matrix[command],0)),"")</f>
        <v/>
      </c>
    </row>
    <row r="72" spans="1:14">
      <c r="A72" s="19"/>
      <c r="D72" s="36" t="str">
        <f>IF(ISBLANK(B72),"",IF(ISERROR(MATCH(B72,xx_matrix[command],0)),FALSE,IF(ISTEXT(INDEX(xx_matrix[videoLink],MATCH(B72,xx_matrix[command],0),1)),HYPERLINK(INDEX(xx_matrix[videoLink],MATCH(B72,xx_matrix[command],0),1),"_YES_"),"YES")))</f>
        <v/>
      </c>
      <c r="J72" t="str">
        <f>IFERROR(INDEX(xx_matrix[SrcModel],MATCH($B72,xx_matrix[command],0)),"")</f>
        <v/>
      </c>
      <c r="K72" t="str">
        <f>IFERROR(INDEX(xx_matrix[SrcObject],MATCH($B72,xx_matrix[command],0)),"")</f>
        <v/>
      </c>
      <c r="L72" t="str">
        <f>IFERROR(INDEX(xx_matrix[TgtModel],MATCH($B72,xx_matrix[command],0)),"")</f>
        <v/>
      </c>
      <c r="M72" t="str">
        <f>IFERROR(INDEX(xx_matrix[TgtObject],MATCH($B72,xx_matrix[command],0)),"")</f>
        <v/>
      </c>
      <c r="N72" t="str">
        <f>IFERROR(INDEX(xx_matrix[Instructions],MATCH($B72,xx_matrix[command],0)),"")</f>
        <v/>
      </c>
    </row>
    <row r="73" spans="1:14">
      <c r="A73" s="19"/>
      <c r="D73" s="36" t="str">
        <f>IF(ISBLANK(B73),"",IF(ISERROR(MATCH(B73,xx_matrix[command],0)),FALSE,IF(ISTEXT(INDEX(xx_matrix[videoLink],MATCH(B73,xx_matrix[command],0),1)),HYPERLINK(INDEX(xx_matrix[videoLink],MATCH(B73,xx_matrix[command],0),1),"_YES_"),"YES")))</f>
        <v/>
      </c>
      <c r="J73" t="str">
        <f>IFERROR(INDEX(xx_matrix[SrcModel],MATCH($B73,xx_matrix[command],0)),"")</f>
        <v/>
      </c>
      <c r="K73" t="str">
        <f>IFERROR(INDEX(xx_matrix[SrcObject],MATCH($B73,xx_matrix[command],0)),"")</f>
        <v/>
      </c>
      <c r="L73" t="str">
        <f>IFERROR(INDEX(xx_matrix[TgtModel],MATCH($B73,xx_matrix[command],0)),"")</f>
        <v/>
      </c>
      <c r="M73" t="str">
        <f>IFERROR(INDEX(xx_matrix[TgtObject],MATCH($B73,xx_matrix[command],0)),"")</f>
        <v/>
      </c>
      <c r="N73" t="str">
        <f>IFERROR(INDEX(xx_matrix[Instructions],MATCH($B73,xx_matrix[command],0)),"")</f>
        <v/>
      </c>
    </row>
    <row r="74" spans="1:14">
      <c r="A74" s="19"/>
      <c r="D74" s="36" t="str">
        <f>IF(ISBLANK(B74),"",IF(ISERROR(MATCH(B74,xx_matrix[command],0)),FALSE,IF(ISTEXT(INDEX(xx_matrix[videoLink],MATCH(B74,xx_matrix[command],0),1)),HYPERLINK(INDEX(xx_matrix[videoLink],MATCH(B74,xx_matrix[command],0),1),"_YES_"),"YES")))</f>
        <v/>
      </c>
      <c r="J74" t="str">
        <f>IFERROR(INDEX(xx_matrix[SrcModel],MATCH($B74,xx_matrix[command],0)),"")</f>
        <v/>
      </c>
      <c r="K74" t="str">
        <f>IFERROR(INDEX(xx_matrix[SrcObject],MATCH($B74,xx_matrix[command],0)),"")</f>
        <v/>
      </c>
      <c r="L74" t="str">
        <f>IFERROR(INDEX(xx_matrix[TgtModel],MATCH($B74,xx_matrix[command],0)),"")</f>
        <v/>
      </c>
      <c r="M74" t="str">
        <f>IFERROR(INDEX(xx_matrix[TgtObject],MATCH($B74,xx_matrix[command],0)),"")</f>
        <v/>
      </c>
      <c r="N74" t="str">
        <f>IFERROR(INDEX(xx_matrix[Instructions],MATCH($B74,xx_matrix[command],0)),"")</f>
        <v/>
      </c>
    </row>
    <row r="75" spans="1:14">
      <c r="A75" s="19"/>
      <c r="D75" s="36" t="str">
        <f>IF(ISBLANK(B75),"",IF(ISERROR(MATCH(B75,xx_matrix[command],0)),FALSE,IF(ISTEXT(INDEX(xx_matrix[videoLink],MATCH(B75,xx_matrix[command],0),1)),HYPERLINK(INDEX(xx_matrix[videoLink],MATCH(B75,xx_matrix[command],0),1),"_YES_"),"YES")))</f>
        <v/>
      </c>
      <c r="J75" t="str">
        <f>IFERROR(INDEX(xx_matrix[SrcModel],MATCH($B75,xx_matrix[command],0)),"")</f>
        <v/>
      </c>
      <c r="K75" t="str">
        <f>IFERROR(INDEX(xx_matrix[SrcObject],MATCH($B75,xx_matrix[command],0)),"")</f>
        <v/>
      </c>
      <c r="L75" t="str">
        <f>IFERROR(INDEX(xx_matrix[TgtModel],MATCH($B75,xx_matrix[command],0)),"")</f>
        <v/>
      </c>
      <c r="M75" t="str">
        <f>IFERROR(INDEX(xx_matrix[TgtObject],MATCH($B75,xx_matrix[command],0)),"")</f>
        <v/>
      </c>
      <c r="N75" t="str">
        <f>IFERROR(INDEX(xx_matrix[Instructions],MATCH($B75,xx_matrix[command],0)),"")</f>
        <v/>
      </c>
    </row>
    <row r="76" spans="1:14">
      <c r="A76" s="19"/>
      <c r="D76" s="36" t="str">
        <f>IF(ISBLANK(B76),"",IF(ISERROR(MATCH(B76,xx_matrix[command],0)),FALSE,IF(ISTEXT(INDEX(xx_matrix[videoLink],MATCH(B76,xx_matrix[command],0),1)),HYPERLINK(INDEX(xx_matrix[videoLink],MATCH(B76,xx_matrix[command],0),1),"_YES_"),"YES")))</f>
        <v/>
      </c>
      <c r="J76" t="str">
        <f>IFERROR(INDEX(xx_matrix[SrcModel],MATCH($B76,xx_matrix[command],0)),"")</f>
        <v/>
      </c>
      <c r="K76" t="str">
        <f>IFERROR(INDEX(xx_matrix[SrcObject],MATCH($B76,xx_matrix[command],0)),"")</f>
        <v/>
      </c>
      <c r="L76" t="str">
        <f>IFERROR(INDEX(xx_matrix[TgtModel],MATCH($B76,xx_matrix[command],0)),"")</f>
        <v/>
      </c>
      <c r="M76" t="str">
        <f>IFERROR(INDEX(xx_matrix[TgtObject],MATCH($B76,xx_matrix[command],0)),"")</f>
        <v/>
      </c>
      <c r="N76" t="str">
        <f>IFERROR(INDEX(xx_matrix[Instructions],MATCH($B76,xx_matrix[command],0)),"")</f>
        <v/>
      </c>
    </row>
    <row r="77" spans="1:14">
      <c r="A77" s="19"/>
      <c r="D77" s="36" t="str">
        <f>IF(ISBLANK(B77),"",IF(ISERROR(MATCH(B77,xx_matrix[command],0)),FALSE,IF(ISTEXT(INDEX(xx_matrix[videoLink],MATCH(B77,xx_matrix[command],0),1)),HYPERLINK(INDEX(xx_matrix[videoLink],MATCH(B77,xx_matrix[command],0),1),"_YES_"),"YES")))</f>
        <v/>
      </c>
      <c r="J77" t="str">
        <f>IFERROR(INDEX(xx_matrix[SrcModel],MATCH($B77,xx_matrix[command],0)),"")</f>
        <v/>
      </c>
      <c r="K77" t="str">
        <f>IFERROR(INDEX(xx_matrix[SrcObject],MATCH($B77,xx_matrix[command],0)),"")</f>
        <v/>
      </c>
      <c r="L77" t="str">
        <f>IFERROR(INDEX(xx_matrix[TgtModel],MATCH($B77,xx_matrix[command],0)),"")</f>
        <v/>
      </c>
      <c r="M77" t="str">
        <f>IFERROR(INDEX(xx_matrix[TgtObject],MATCH($B77,xx_matrix[command],0)),"")</f>
        <v/>
      </c>
      <c r="N77" t="str">
        <f>IFERROR(INDEX(xx_matrix[Instructions],MATCH($B77,xx_matrix[command],0)),"")</f>
        <v/>
      </c>
    </row>
    <row r="78" spans="1:14">
      <c r="A78" s="19"/>
      <c r="D78" s="36" t="str">
        <f>IF(ISBLANK(B78),"",IF(ISERROR(MATCH(B78,xx_matrix[command],0)),FALSE,IF(ISTEXT(INDEX(xx_matrix[videoLink],MATCH(B78,xx_matrix[command],0),1)),HYPERLINK(INDEX(xx_matrix[videoLink],MATCH(B78,xx_matrix[command],0),1),"_YES_"),"YES")))</f>
        <v/>
      </c>
      <c r="J78" t="str">
        <f>IFERROR(INDEX(xx_matrix[SrcModel],MATCH($B78,xx_matrix[command],0)),"")</f>
        <v/>
      </c>
      <c r="K78" t="str">
        <f>IFERROR(INDEX(xx_matrix[SrcObject],MATCH($B78,xx_matrix[command],0)),"")</f>
        <v/>
      </c>
      <c r="L78" t="str">
        <f>IFERROR(INDEX(xx_matrix[TgtModel],MATCH($B78,xx_matrix[command],0)),"")</f>
        <v/>
      </c>
      <c r="M78" t="str">
        <f>IFERROR(INDEX(xx_matrix[TgtObject],MATCH($B78,xx_matrix[command],0)),"")</f>
        <v/>
      </c>
      <c r="N78" t="str">
        <f>IFERROR(INDEX(xx_matrix[Instructions],MATCH($B78,xx_matrix[command],0)),"")</f>
        <v/>
      </c>
    </row>
    <row r="79" spans="1:14">
      <c r="A79" s="19"/>
      <c r="D79" s="36" t="str">
        <f>IF(ISBLANK(B79),"",IF(ISERROR(MATCH(B79,xx_matrix[command],0)),FALSE,IF(ISTEXT(INDEX(xx_matrix[videoLink],MATCH(B79,xx_matrix[command],0),1)),HYPERLINK(INDEX(xx_matrix[videoLink],MATCH(B79,xx_matrix[command],0),1),"_YES_"),"YES")))</f>
        <v/>
      </c>
      <c r="J79" t="str">
        <f>IFERROR(INDEX(xx_matrix[SrcModel],MATCH($B79,xx_matrix[command],0)),"")</f>
        <v/>
      </c>
      <c r="K79" t="str">
        <f>IFERROR(INDEX(xx_matrix[SrcObject],MATCH($B79,xx_matrix[command],0)),"")</f>
        <v/>
      </c>
      <c r="L79" t="str">
        <f>IFERROR(INDEX(xx_matrix[TgtModel],MATCH($B79,xx_matrix[command],0)),"")</f>
        <v/>
      </c>
      <c r="M79" t="str">
        <f>IFERROR(INDEX(xx_matrix[TgtObject],MATCH($B79,xx_matrix[command],0)),"")</f>
        <v/>
      </c>
      <c r="N79" t="str">
        <f>IFERROR(INDEX(xx_matrix[Instructions],MATCH($B79,xx_matrix[command],0)),"")</f>
        <v/>
      </c>
    </row>
    <row r="80" spans="1:14">
      <c r="A80" s="19"/>
      <c r="D80" s="36" t="str">
        <f>IF(ISBLANK(B80),"",IF(ISERROR(MATCH(B80,xx_matrix[command],0)),FALSE,IF(ISTEXT(INDEX(xx_matrix[videoLink],MATCH(B80,xx_matrix[command],0),1)),HYPERLINK(INDEX(xx_matrix[videoLink],MATCH(B80,xx_matrix[command],0),1),"_YES_"),"YES")))</f>
        <v/>
      </c>
      <c r="J80" t="str">
        <f>IFERROR(INDEX(xx_matrix[SrcModel],MATCH($B80,xx_matrix[command],0)),"")</f>
        <v/>
      </c>
      <c r="K80" t="str">
        <f>IFERROR(INDEX(xx_matrix[SrcObject],MATCH($B80,xx_matrix[command],0)),"")</f>
        <v/>
      </c>
      <c r="L80" t="str">
        <f>IFERROR(INDEX(xx_matrix[TgtModel],MATCH($B80,xx_matrix[command],0)),"")</f>
        <v/>
      </c>
      <c r="M80" t="str">
        <f>IFERROR(INDEX(xx_matrix[TgtObject],MATCH($B80,xx_matrix[command],0)),"")</f>
        <v/>
      </c>
      <c r="N80" t="str">
        <f>IFERROR(INDEX(xx_matrix[Instructions],MATCH($B80,xx_matrix[command],0)),"")</f>
        <v/>
      </c>
    </row>
    <row r="81" spans="1:14">
      <c r="A81" s="19"/>
      <c r="D81" s="36" t="str">
        <f>IF(ISBLANK(B81),"",IF(ISERROR(MATCH(B81,xx_matrix[command],0)),FALSE,IF(ISTEXT(INDEX(xx_matrix[videoLink],MATCH(B81,xx_matrix[command],0),1)),HYPERLINK(INDEX(xx_matrix[videoLink],MATCH(B81,xx_matrix[command],0),1),"_YES_"),"YES")))</f>
        <v/>
      </c>
      <c r="J81" t="str">
        <f>IFERROR(INDEX(xx_matrix[SrcModel],MATCH($B81,xx_matrix[command],0)),"")</f>
        <v/>
      </c>
      <c r="K81" t="str">
        <f>IFERROR(INDEX(xx_matrix[SrcObject],MATCH($B81,xx_matrix[command],0)),"")</f>
        <v/>
      </c>
      <c r="L81" t="str">
        <f>IFERROR(INDEX(xx_matrix[TgtModel],MATCH($B81,xx_matrix[command],0)),"")</f>
        <v/>
      </c>
      <c r="M81" t="str">
        <f>IFERROR(INDEX(xx_matrix[TgtObject],MATCH($B81,xx_matrix[command],0)),"")</f>
        <v/>
      </c>
      <c r="N81" t="str">
        <f>IFERROR(INDEX(xx_matrix[Instructions],MATCH($B81,xx_matrix[command],0)),"")</f>
        <v/>
      </c>
    </row>
    <row r="82" spans="1:14">
      <c r="A82" s="19"/>
      <c r="D82" s="36" t="str">
        <f>IF(ISBLANK(B82),"",IF(ISERROR(MATCH(B82,xx_matrix[command],0)),FALSE,IF(ISTEXT(INDEX(xx_matrix[videoLink],MATCH(B82,xx_matrix[command],0),1)),HYPERLINK(INDEX(xx_matrix[videoLink],MATCH(B82,xx_matrix[command],0),1),"_YES_"),"YES")))</f>
        <v/>
      </c>
      <c r="J82" t="str">
        <f>IFERROR(INDEX(xx_matrix[SrcModel],MATCH($B82,xx_matrix[command],0)),"")</f>
        <v/>
      </c>
      <c r="K82" t="str">
        <f>IFERROR(INDEX(xx_matrix[SrcObject],MATCH($B82,xx_matrix[command],0)),"")</f>
        <v/>
      </c>
      <c r="L82" t="str">
        <f>IFERROR(INDEX(xx_matrix[TgtModel],MATCH($B82,xx_matrix[command],0)),"")</f>
        <v/>
      </c>
      <c r="M82" t="str">
        <f>IFERROR(INDEX(xx_matrix[TgtObject],MATCH($B82,xx_matrix[command],0)),"")</f>
        <v/>
      </c>
      <c r="N82" t="str">
        <f>IFERROR(INDEX(xx_matrix[Instructions],MATCH($B82,xx_matrix[command],0)),"")</f>
        <v/>
      </c>
    </row>
    <row r="83" spans="1:14">
      <c r="A83" s="19"/>
      <c r="D83" s="36" t="str">
        <f>IF(ISBLANK(B83),"",IF(ISERROR(MATCH(B83,xx_matrix[command],0)),FALSE,IF(ISTEXT(INDEX(xx_matrix[videoLink],MATCH(B83,xx_matrix[command],0),1)),HYPERLINK(INDEX(xx_matrix[videoLink],MATCH(B83,xx_matrix[command],0),1),"_YES_"),"YES")))</f>
        <v/>
      </c>
      <c r="J83" t="str">
        <f>IFERROR(INDEX(xx_matrix[SrcModel],MATCH($B83,xx_matrix[command],0)),"")</f>
        <v/>
      </c>
      <c r="K83" t="str">
        <f>IFERROR(INDEX(xx_matrix[SrcObject],MATCH($B83,xx_matrix[command],0)),"")</f>
        <v/>
      </c>
      <c r="L83" t="str">
        <f>IFERROR(INDEX(xx_matrix[TgtModel],MATCH($B83,xx_matrix[command],0)),"")</f>
        <v/>
      </c>
      <c r="M83" t="str">
        <f>IFERROR(INDEX(xx_matrix[TgtObject],MATCH($B83,xx_matrix[command],0)),"")</f>
        <v/>
      </c>
      <c r="N83" t="str">
        <f>IFERROR(INDEX(xx_matrix[Instructions],MATCH($B83,xx_matrix[command],0)),"")</f>
        <v/>
      </c>
    </row>
    <row r="84" spans="1:14">
      <c r="A84" s="19"/>
      <c r="D84" s="36" t="str">
        <f>IF(ISBLANK(B84),"",IF(ISERROR(MATCH(B84,xx_matrix[command],0)),FALSE,IF(ISTEXT(INDEX(xx_matrix[videoLink],MATCH(B84,xx_matrix[command],0),1)),HYPERLINK(INDEX(xx_matrix[videoLink],MATCH(B84,xx_matrix[command],0),1),"_YES_"),"YES")))</f>
        <v/>
      </c>
      <c r="J84" t="str">
        <f>IFERROR(INDEX(xx_matrix[SrcModel],MATCH($B84,xx_matrix[command],0)),"")</f>
        <v/>
      </c>
      <c r="K84" t="str">
        <f>IFERROR(INDEX(xx_matrix[SrcObject],MATCH($B84,xx_matrix[command],0)),"")</f>
        <v/>
      </c>
      <c r="L84" t="str">
        <f>IFERROR(INDEX(xx_matrix[TgtModel],MATCH($B84,xx_matrix[command],0)),"")</f>
        <v/>
      </c>
      <c r="M84" t="str">
        <f>IFERROR(INDEX(xx_matrix[TgtObject],MATCH($B84,xx_matrix[command],0)),"")</f>
        <v/>
      </c>
      <c r="N84" t="str">
        <f>IFERROR(INDEX(xx_matrix[Instructions],MATCH($B84,xx_matrix[command],0)),"")</f>
        <v/>
      </c>
    </row>
    <row r="85" spans="1:14">
      <c r="A85" s="19"/>
      <c r="D85" s="36" t="str">
        <f>IF(ISBLANK(B85),"",IF(ISERROR(MATCH(B85,xx_matrix[command],0)),FALSE,IF(ISTEXT(INDEX(xx_matrix[videoLink],MATCH(B85,xx_matrix[command],0),1)),HYPERLINK(INDEX(xx_matrix[videoLink],MATCH(B85,xx_matrix[command],0),1),"_YES_"),"YES")))</f>
        <v/>
      </c>
      <c r="J85" t="str">
        <f>IFERROR(INDEX(xx_matrix[SrcModel],MATCH($B85,xx_matrix[command],0)),"")</f>
        <v/>
      </c>
      <c r="K85" t="str">
        <f>IFERROR(INDEX(xx_matrix[SrcObject],MATCH($B85,xx_matrix[command],0)),"")</f>
        <v/>
      </c>
      <c r="L85" t="str">
        <f>IFERROR(INDEX(xx_matrix[TgtModel],MATCH($B85,xx_matrix[command],0)),"")</f>
        <v/>
      </c>
      <c r="M85" t="str">
        <f>IFERROR(INDEX(xx_matrix[TgtObject],MATCH($B85,xx_matrix[command],0)),"")</f>
        <v/>
      </c>
      <c r="N85" t="str">
        <f>IFERROR(INDEX(xx_matrix[Instructions],MATCH($B85,xx_matrix[command],0)),"")</f>
        <v/>
      </c>
    </row>
    <row r="86" spans="1:14">
      <c r="A86" s="19"/>
      <c r="D86" s="36" t="str">
        <f>IF(ISBLANK(B86),"",IF(ISERROR(MATCH(B86,xx_matrix[command],0)),FALSE,IF(ISTEXT(INDEX(xx_matrix[videoLink],MATCH(B86,xx_matrix[command],0),1)),HYPERLINK(INDEX(xx_matrix[videoLink],MATCH(B86,xx_matrix[command],0),1),"_YES_"),"YES")))</f>
        <v/>
      </c>
      <c r="J86" t="str">
        <f>IFERROR(INDEX(xx_matrix[SrcModel],MATCH($B86,xx_matrix[command],0)),"")</f>
        <v/>
      </c>
      <c r="K86" t="str">
        <f>IFERROR(INDEX(xx_matrix[SrcObject],MATCH($B86,xx_matrix[command],0)),"")</f>
        <v/>
      </c>
      <c r="L86" t="str">
        <f>IFERROR(INDEX(xx_matrix[TgtModel],MATCH($B86,xx_matrix[command],0)),"")</f>
        <v/>
      </c>
      <c r="M86" t="str">
        <f>IFERROR(INDEX(xx_matrix[TgtObject],MATCH($B86,xx_matrix[command],0)),"")</f>
        <v/>
      </c>
      <c r="N86" t="str">
        <f>IFERROR(INDEX(xx_matrix[Instructions],MATCH($B86,xx_matrix[command],0)),"")</f>
        <v/>
      </c>
    </row>
    <row r="87" spans="1:14">
      <c r="A87" s="19"/>
      <c r="D87" s="36" t="str">
        <f>IF(ISBLANK(B87),"",IF(ISERROR(MATCH(B87,xx_matrix[command],0)),FALSE,IF(ISTEXT(INDEX(xx_matrix[videoLink],MATCH(B87,xx_matrix[command],0),1)),HYPERLINK(INDEX(xx_matrix[videoLink],MATCH(B87,xx_matrix[command],0),1),"_YES_"),"YES")))</f>
        <v/>
      </c>
      <c r="J87" t="str">
        <f>IFERROR(INDEX(xx_matrix[SrcModel],MATCH($B87,xx_matrix[command],0)),"")</f>
        <v/>
      </c>
      <c r="K87" t="str">
        <f>IFERROR(INDEX(xx_matrix[SrcObject],MATCH($B87,xx_matrix[command],0)),"")</f>
        <v/>
      </c>
      <c r="L87" t="str">
        <f>IFERROR(INDEX(xx_matrix[TgtModel],MATCH($B87,xx_matrix[command],0)),"")</f>
        <v/>
      </c>
      <c r="M87" t="str">
        <f>IFERROR(INDEX(xx_matrix[TgtObject],MATCH($B87,xx_matrix[command],0)),"")</f>
        <v/>
      </c>
      <c r="N87" t="str">
        <f>IFERROR(INDEX(xx_matrix[Instructions],MATCH($B87,xx_matrix[command],0)),"")</f>
        <v/>
      </c>
    </row>
    <row r="88" spans="1:14">
      <c r="A88" s="19"/>
      <c r="D88" s="36" t="str">
        <f>IF(ISBLANK(B88),"",IF(ISERROR(MATCH(B88,xx_matrix[command],0)),FALSE,IF(ISTEXT(INDEX(xx_matrix[videoLink],MATCH(B88,xx_matrix[command],0),1)),HYPERLINK(INDEX(xx_matrix[videoLink],MATCH(B88,xx_matrix[command],0),1),"_YES_"),"YES")))</f>
        <v/>
      </c>
      <c r="J88" t="str">
        <f>IFERROR(INDEX(xx_matrix[SrcModel],MATCH($B88,xx_matrix[command],0)),"")</f>
        <v/>
      </c>
      <c r="K88" t="str">
        <f>IFERROR(INDEX(xx_matrix[SrcObject],MATCH($B88,xx_matrix[command],0)),"")</f>
        <v/>
      </c>
      <c r="L88" t="str">
        <f>IFERROR(INDEX(xx_matrix[TgtModel],MATCH($B88,xx_matrix[command],0)),"")</f>
        <v/>
      </c>
      <c r="M88" t="str">
        <f>IFERROR(INDEX(xx_matrix[TgtObject],MATCH($B88,xx_matrix[command],0)),"")</f>
        <v/>
      </c>
      <c r="N88" t="str">
        <f>IFERROR(INDEX(xx_matrix[Instructions],MATCH($B88,xx_matrix[command],0)),"")</f>
        <v/>
      </c>
    </row>
    <row r="89" spans="1:14">
      <c r="A89" s="19"/>
      <c r="D89" s="36" t="str">
        <f>IF(ISBLANK(B89),"",IF(ISERROR(MATCH(B89,xx_matrix[command],0)),FALSE,IF(ISTEXT(INDEX(xx_matrix[videoLink],MATCH(B89,xx_matrix[command],0),1)),HYPERLINK(INDEX(xx_matrix[videoLink],MATCH(B89,xx_matrix[command],0),1),"_YES_"),"YES")))</f>
        <v/>
      </c>
      <c r="J89" t="str">
        <f>IFERROR(INDEX(xx_matrix[SrcModel],MATCH($B89,xx_matrix[command],0)),"")</f>
        <v/>
      </c>
      <c r="K89" t="str">
        <f>IFERROR(INDEX(xx_matrix[SrcObject],MATCH($B89,xx_matrix[command],0)),"")</f>
        <v/>
      </c>
      <c r="L89" t="str">
        <f>IFERROR(INDEX(xx_matrix[TgtModel],MATCH($B89,xx_matrix[command],0)),"")</f>
        <v/>
      </c>
      <c r="M89" t="str">
        <f>IFERROR(INDEX(xx_matrix[TgtObject],MATCH($B89,xx_matrix[command],0)),"")</f>
        <v/>
      </c>
      <c r="N89" t="str">
        <f>IFERROR(INDEX(xx_matrix[Instructions],MATCH($B89,xx_matrix[command],0)),"")</f>
        <v/>
      </c>
    </row>
    <row r="90" spans="1:14">
      <c r="A90" s="19"/>
      <c r="D90" s="36" t="str">
        <f>IF(ISBLANK(B90),"",IF(ISERROR(MATCH(B90,xx_matrix[command],0)),FALSE,IF(ISTEXT(INDEX(xx_matrix[videoLink],MATCH(B90,xx_matrix[command],0),1)),HYPERLINK(INDEX(xx_matrix[videoLink],MATCH(B90,xx_matrix[command],0),1),"_YES_"),"YES")))</f>
        <v/>
      </c>
      <c r="J90" t="str">
        <f>IFERROR(INDEX(xx_matrix[SrcModel],MATCH($B90,xx_matrix[command],0)),"")</f>
        <v/>
      </c>
      <c r="K90" t="str">
        <f>IFERROR(INDEX(xx_matrix[SrcObject],MATCH($B90,xx_matrix[command],0)),"")</f>
        <v/>
      </c>
      <c r="L90" t="str">
        <f>IFERROR(INDEX(xx_matrix[TgtModel],MATCH($B90,xx_matrix[command],0)),"")</f>
        <v/>
      </c>
      <c r="M90" t="str">
        <f>IFERROR(INDEX(xx_matrix[TgtObject],MATCH($B90,xx_matrix[command],0)),"")</f>
        <v/>
      </c>
      <c r="N90" t="str">
        <f>IFERROR(INDEX(xx_matrix[Instructions],MATCH($B90,xx_matrix[command],0)),"")</f>
        <v/>
      </c>
    </row>
    <row r="91" spans="1:14">
      <c r="A91" s="19"/>
      <c r="D91" s="36" t="str">
        <f>IF(ISBLANK(B91),"",IF(ISERROR(MATCH(B91,xx_matrix[command],0)),FALSE,IF(ISTEXT(INDEX(xx_matrix[videoLink],MATCH(B91,xx_matrix[command],0),1)),HYPERLINK(INDEX(xx_matrix[videoLink],MATCH(B91,xx_matrix[command],0),1),"_YES_"),"YES")))</f>
        <v/>
      </c>
      <c r="J91" t="str">
        <f>IFERROR(INDEX(xx_matrix[SrcModel],MATCH($B91,xx_matrix[command],0)),"")</f>
        <v/>
      </c>
      <c r="K91" t="str">
        <f>IFERROR(INDEX(xx_matrix[SrcObject],MATCH($B91,xx_matrix[command],0)),"")</f>
        <v/>
      </c>
      <c r="L91" t="str">
        <f>IFERROR(INDEX(xx_matrix[TgtModel],MATCH($B91,xx_matrix[command],0)),"")</f>
        <v/>
      </c>
      <c r="M91" t="str">
        <f>IFERROR(INDEX(xx_matrix[TgtObject],MATCH($B91,xx_matrix[command],0)),"")</f>
        <v/>
      </c>
      <c r="N91" t="str">
        <f>IFERROR(INDEX(xx_matrix[Instructions],MATCH($B91,xx_matrix[command],0)),"")</f>
        <v/>
      </c>
    </row>
    <row r="92" spans="1:14">
      <c r="A92" s="19"/>
      <c r="D92" s="36" t="str">
        <f>IF(ISBLANK(B92),"",IF(ISERROR(MATCH(B92,xx_matrix[command],0)),FALSE,IF(ISTEXT(INDEX(xx_matrix[videoLink],MATCH(B92,xx_matrix[command],0),1)),HYPERLINK(INDEX(xx_matrix[videoLink],MATCH(B92,xx_matrix[command],0),1),"_YES_"),"YES")))</f>
        <v/>
      </c>
      <c r="J92" t="str">
        <f>IFERROR(INDEX(xx_matrix[SrcModel],MATCH($B92,xx_matrix[command],0)),"")</f>
        <v/>
      </c>
      <c r="K92" t="str">
        <f>IFERROR(INDEX(xx_matrix[SrcObject],MATCH($B92,xx_matrix[command],0)),"")</f>
        <v/>
      </c>
      <c r="L92" t="str">
        <f>IFERROR(INDEX(xx_matrix[TgtModel],MATCH($B92,xx_matrix[command],0)),"")</f>
        <v/>
      </c>
      <c r="M92" t="str">
        <f>IFERROR(INDEX(xx_matrix[TgtObject],MATCH($B92,xx_matrix[command],0)),"")</f>
        <v/>
      </c>
      <c r="N92" t="str">
        <f>IFERROR(INDEX(xx_matrix[Instructions],MATCH($B92,xx_matrix[command],0)),"")</f>
        <v/>
      </c>
    </row>
    <row r="93" spans="1:14">
      <c r="A93" s="19"/>
      <c r="D93" s="36" t="str">
        <f>IF(ISBLANK(B93),"",IF(ISERROR(MATCH(B93,xx_matrix[command],0)),FALSE,IF(ISTEXT(INDEX(xx_matrix[videoLink],MATCH(B93,xx_matrix[command],0),1)),HYPERLINK(INDEX(xx_matrix[videoLink],MATCH(B93,xx_matrix[command],0),1),"_YES_"),"YES")))</f>
        <v/>
      </c>
      <c r="J93" t="str">
        <f>IFERROR(INDEX(xx_matrix[SrcModel],MATCH($B93,xx_matrix[command],0)),"")</f>
        <v/>
      </c>
      <c r="K93" t="str">
        <f>IFERROR(INDEX(xx_matrix[SrcObject],MATCH($B93,xx_matrix[command],0)),"")</f>
        <v/>
      </c>
      <c r="L93" t="str">
        <f>IFERROR(INDEX(xx_matrix[TgtModel],MATCH($B93,xx_matrix[command],0)),"")</f>
        <v/>
      </c>
      <c r="M93" t="str">
        <f>IFERROR(INDEX(xx_matrix[TgtObject],MATCH($B93,xx_matrix[command],0)),"")</f>
        <v/>
      </c>
      <c r="N93" t="str">
        <f>IFERROR(INDEX(xx_matrix[Instructions],MATCH($B93,xx_matrix[command],0)),"")</f>
        <v/>
      </c>
    </row>
    <row r="94" spans="1:14">
      <c r="A94" s="19"/>
      <c r="D94" s="36" t="str">
        <f>IF(ISBLANK(B94),"",IF(ISERROR(MATCH(B94,xx_matrix[command],0)),FALSE,IF(ISTEXT(INDEX(xx_matrix[videoLink],MATCH(B94,xx_matrix[command],0),1)),HYPERLINK(INDEX(xx_matrix[videoLink],MATCH(B94,xx_matrix[command],0),1),"_YES_"),"YES")))</f>
        <v/>
      </c>
      <c r="J94" t="str">
        <f>IFERROR(INDEX(xx_matrix[SrcModel],MATCH($B94,xx_matrix[command],0)),"")</f>
        <v/>
      </c>
      <c r="K94" t="str">
        <f>IFERROR(INDEX(xx_matrix[SrcObject],MATCH($B94,xx_matrix[command],0)),"")</f>
        <v/>
      </c>
      <c r="L94" t="str">
        <f>IFERROR(INDEX(xx_matrix[TgtModel],MATCH($B94,xx_matrix[command],0)),"")</f>
        <v/>
      </c>
      <c r="M94" t="str">
        <f>IFERROR(INDEX(xx_matrix[TgtObject],MATCH($B94,xx_matrix[command],0)),"")</f>
        <v/>
      </c>
      <c r="N94" t="str">
        <f>IFERROR(INDEX(xx_matrix[Instructions],MATCH($B94,xx_matrix[command],0)),"")</f>
        <v/>
      </c>
    </row>
    <row r="95" spans="1:14">
      <c r="A95" s="19"/>
      <c r="D95" s="36" t="str">
        <f>IF(ISBLANK(B95),"",IF(ISERROR(MATCH(B95,xx_matrix[command],0)),FALSE,IF(ISTEXT(INDEX(xx_matrix[videoLink],MATCH(B95,xx_matrix[command],0),1)),HYPERLINK(INDEX(xx_matrix[videoLink],MATCH(B95,xx_matrix[command],0),1),"_YES_"),"YES")))</f>
        <v/>
      </c>
      <c r="J95" t="str">
        <f>IFERROR(INDEX(xx_matrix[SrcModel],MATCH($B95,xx_matrix[command],0)),"")</f>
        <v/>
      </c>
      <c r="K95" t="str">
        <f>IFERROR(INDEX(xx_matrix[SrcObject],MATCH($B95,xx_matrix[command],0)),"")</f>
        <v/>
      </c>
      <c r="L95" t="str">
        <f>IFERROR(INDEX(xx_matrix[TgtModel],MATCH($B95,xx_matrix[command],0)),"")</f>
        <v/>
      </c>
      <c r="M95" t="str">
        <f>IFERROR(INDEX(xx_matrix[TgtObject],MATCH($B95,xx_matrix[command],0)),"")</f>
        <v/>
      </c>
      <c r="N95" t="str">
        <f>IFERROR(INDEX(xx_matrix[Instructions],MATCH($B95,xx_matrix[command],0)),"")</f>
        <v/>
      </c>
    </row>
    <row r="96" spans="1:14">
      <c r="A96" s="19"/>
      <c r="D96" s="36" t="str">
        <f>IF(ISBLANK(B96),"",IF(ISERROR(MATCH(B96,xx_matrix[command],0)),FALSE,IF(ISTEXT(INDEX(xx_matrix[videoLink],MATCH(B96,xx_matrix[command],0),1)),HYPERLINK(INDEX(xx_matrix[videoLink],MATCH(B96,xx_matrix[command],0),1),"_YES_"),"YES")))</f>
        <v/>
      </c>
      <c r="J96" t="str">
        <f>IFERROR(INDEX(xx_matrix[SrcModel],MATCH($B96,xx_matrix[command],0)),"")</f>
        <v/>
      </c>
      <c r="K96" t="str">
        <f>IFERROR(INDEX(xx_matrix[SrcObject],MATCH($B96,xx_matrix[command],0)),"")</f>
        <v/>
      </c>
      <c r="L96" t="str">
        <f>IFERROR(INDEX(xx_matrix[TgtModel],MATCH($B96,xx_matrix[command],0)),"")</f>
        <v/>
      </c>
      <c r="M96" t="str">
        <f>IFERROR(INDEX(xx_matrix[TgtObject],MATCH($B96,xx_matrix[command],0)),"")</f>
        <v/>
      </c>
      <c r="N96" t="str">
        <f>IFERROR(INDEX(xx_matrix[Instructions],MATCH($B96,xx_matrix[command],0)),"")</f>
        <v/>
      </c>
    </row>
    <row r="97" spans="1:14">
      <c r="A97" s="19"/>
      <c r="D97" s="36" t="str">
        <f>IF(ISBLANK(B97),"",IF(ISERROR(MATCH(B97,xx_matrix[command],0)),FALSE,IF(ISTEXT(INDEX(xx_matrix[videoLink],MATCH(B97,xx_matrix[command],0),1)),HYPERLINK(INDEX(xx_matrix[videoLink],MATCH(B97,xx_matrix[command],0),1),"_YES_"),"YES")))</f>
        <v/>
      </c>
      <c r="J97" t="str">
        <f>IFERROR(INDEX(xx_matrix[SrcModel],MATCH($B97,xx_matrix[command],0)),"")</f>
        <v/>
      </c>
      <c r="K97" t="str">
        <f>IFERROR(INDEX(xx_matrix[SrcObject],MATCH($B97,xx_matrix[command],0)),"")</f>
        <v/>
      </c>
      <c r="L97" t="str">
        <f>IFERROR(INDEX(xx_matrix[TgtModel],MATCH($B97,xx_matrix[command],0)),"")</f>
        <v/>
      </c>
      <c r="M97" t="str">
        <f>IFERROR(INDEX(xx_matrix[TgtObject],MATCH($B97,xx_matrix[command],0)),"")</f>
        <v/>
      </c>
      <c r="N97" t="str">
        <f>IFERROR(INDEX(xx_matrix[Instructions],MATCH($B97,xx_matrix[command],0)),"")</f>
        <v/>
      </c>
    </row>
    <row r="98" spans="1:14">
      <c r="A98" s="19"/>
      <c r="D98" s="36" t="str">
        <f>IF(ISBLANK(B98),"",IF(ISERROR(MATCH(B98,xx_matrix[command],0)),FALSE,IF(ISTEXT(INDEX(xx_matrix[videoLink],MATCH(B98,xx_matrix[command],0),1)),HYPERLINK(INDEX(xx_matrix[videoLink],MATCH(B98,xx_matrix[command],0),1),"_YES_"),"YES")))</f>
        <v/>
      </c>
      <c r="J98" t="str">
        <f>IFERROR(INDEX(xx_matrix[SrcModel],MATCH($B98,xx_matrix[command],0)),"")</f>
        <v/>
      </c>
      <c r="K98" t="str">
        <f>IFERROR(INDEX(xx_matrix[SrcObject],MATCH($B98,xx_matrix[command],0)),"")</f>
        <v/>
      </c>
      <c r="L98" t="str">
        <f>IFERROR(INDEX(xx_matrix[TgtModel],MATCH($B98,xx_matrix[command],0)),"")</f>
        <v/>
      </c>
      <c r="M98" t="str">
        <f>IFERROR(INDEX(xx_matrix[TgtObject],MATCH($B98,xx_matrix[command],0)),"")</f>
        <v/>
      </c>
      <c r="N98" t="str">
        <f>IFERROR(INDEX(xx_matrix[Instructions],MATCH($B98,xx_matrix[command],0)),"")</f>
        <v/>
      </c>
    </row>
    <row r="99" spans="1:14">
      <c r="A99" s="19"/>
      <c r="D99" s="36" t="str">
        <f>IF(ISBLANK(B99),"",IF(ISERROR(MATCH(B99,xx_matrix[command],0)),FALSE,IF(ISTEXT(INDEX(xx_matrix[videoLink],MATCH(B99,xx_matrix[command],0),1)),HYPERLINK(INDEX(xx_matrix[videoLink],MATCH(B99,xx_matrix[command],0),1),"_YES_"),"YES")))</f>
        <v/>
      </c>
      <c r="J99" t="str">
        <f>IFERROR(INDEX(xx_matrix[SrcModel],MATCH($B99,xx_matrix[command],0)),"")</f>
        <v/>
      </c>
      <c r="K99" t="str">
        <f>IFERROR(INDEX(xx_matrix[SrcObject],MATCH($B99,xx_matrix[command],0)),"")</f>
        <v/>
      </c>
      <c r="L99" t="str">
        <f>IFERROR(INDEX(xx_matrix[TgtModel],MATCH($B99,xx_matrix[command],0)),"")</f>
        <v/>
      </c>
      <c r="M99" t="str">
        <f>IFERROR(INDEX(xx_matrix[TgtObject],MATCH($B99,xx_matrix[command],0)),"")</f>
        <v/>
      </c>
      <c r="N99" t="str">
        <f>IFERROR(INDEX(xx_matrix[Instructions],MATCH($B99,xx_matrix[command],0)),"")</f>
        <v/>
      </c>
    </row>
    <row r="100" spans="1:14">
      <c r="A100" s="19"/>
      <c r="D100" s="36" t="str">
        <f>IF(ISBLANK(B100),"",IF(ISERROR(MATCH(B100,xx_matrix[command],0)),FALSE,IF(ISTEXT(INDEX(xx_matrix[videoLink],MATCH(B100,xx_matrix[command],0),1)),HYPERLINK(INDEX(xx_matrix[videoLink],MATCH(B100,xx_matrix[command],0),1),"_YES_"),"YES")))</f>
        <v/>
      </c>
      <c r="J100" t="str">
        <f>IFERROR(INDEX(xx_matrix[SrcModel],MATCH($B100,xx_matrix[command],0)),"")</f>
        <v/>
      </c>
      <c r="K100" t="str">
        <f>IFERROR(INDEX(xx_matrix[SrcObject],MATCH($B100,xx_matrix[command],0)),"")</f>
        <v/>
      </c>
      <c r="L100" t="str">
        <f>IFERROR(INDEX(xx_matrix[TgtModel],MATCH($B100,xx_matrix[command],0)),"")</f>
        <v/>
      </c>
      <c r="M100" t="str">
        <f>IFERROR(INDEX(xx_matrix[TgtObject],MATCH($B100,xx_matrix[command],0)),"")</f>
        <v/>
      </c>
      <c r="N100" t="str">
        <f>IFERROR(INDEX(xx_matrix[Instructions],MATCH($B100,xx_matrix[command],0)),"")</f>
        <v/>
      </c>
    </row>
    <row r="101" spans="1:14">
      <c r="A101" s="19"/>
      <c r="D101" s="36" t="str">
        <f>IF(ISBLANK(B101),"",IF(ISERROR(MATCH(B101,xx_matrix[command],0)),FALSE,IF(ISTEXT(INDEX(xx_matrix[videoLink],MATCH(B101,xx_matrix[command],0),1)),HYPERLINK(INDEX(xx_matrix[videoLink],MATCH(B101,xx_matrix[command],0),1),"_YES_"),"YES")))</f>
        <v/>
      </c>
      <c r="J101" t="str">
        <f>IFERROR(INDEX(xx_matrix[SrcModel],MATCH($B101,xx_matrix[command],0)),"")</f>
        <v/>
      </c>
      <c r="K101" t="str">
        <f>IFERROR(INDEX(xx_matrix[SrcObject],MATCH($B101,xx_matrix[command],0)),"")</f>
        <v/>
      </c>
      <c r="L101" t="str">
        <f>IFERROR(INDEX(xx_matrix[TgtModel],MATCH($B101,xx_matrix[command],0)),"")</f>
        <v/>
      </c>
      <c r="M101" t="str">
        <f>IFERROR(INDEX(xx_matrix[TgtObject],MATCH($B101,xx_matrix[command],0)),"")</f>
        <v/>
      </c>
      <c r="N101" t="str">
        <f>IFERROR(INDEX(xx_matrix[Instructions],MATCH($B101,xx_matrix[command],0)),"")</f>
        <v/>
      </c>
    </row>
    <row r="102" spans="1:14">
      <c r="A102" s="19"/>
      <c r="D102" s="36" t="str">
        <f>IF(ISBLANK(B102),"",IF(ISERROR(MATCH(B102,xx_matrix[command],0)),FALSE,IF(ISTEXT(INDEX(xx_matrix[videoLink],MATCH(B102,xx_matrix[command],0),1)),HYPERLINK(INDEX(xx_matrix[videoLink],MATCH(B102,xx_matrix[command],0),1),"_YES_"),"YES")))</f>
        <v/>
      </c>
      <c r="J102" t="str">
        <f>IFERROR(INDEX(xx_matrix[SrcModel],MATCH($B102,xx_matrix[command],0)),"")</f>
        <v/>
      </c>
      <c r="K102" t="str">
        <f>IFERROR(INDEX(xx_matrix[SrcObject],MATCH($B102,xx_matrix[command],0)),"")</f>
        <v/>
      </c>
      <c r="L102" t="str">
        <f>IFERROR(INDEX(xx_matrix[TgtModel],MATCH($B102,xx_matrix[command],0)),"")</f>
        <v/>
      </c>
      <c r="M102" t="str">
        <f>IFERROR(INDEX(xx_matrix[TgtObject],MATCH($B102,xx_matrix[command],0)),"")</f>
        <v/>
      </c>
      <c r="N102" t="str">
        <f>IFERROR(INDEX(xx_matrix[Instructions],MATCH($B102,xx_matrix[command],0)),"")</f>
        <v/>
      </c>
    </row>
    <row r="103" spans="1:14">
      <c r="A103" s="19"/>
      <c r="D103" s="36" t="str">
        <f>IF(ISBLANK(B103),"",IF(ISERROR(MATCH(B103,xx_matrix[command],0)),FALSE,IF(ISTEXT(INDEX(xx_matrix[videoLink],MATCH(B103,xx_matrix[command],0),1)),HYPERLINK(INDEX(xx_matrix[videoLink],MATCH(B103,xx_matrix[command],0),1),"_YES_"),"YES")))</f>
        <v/>
      </c>
      <c r="J103" t="str">
        <f>IFERROR(INDEX(xx_matrix[SrcModel],MATCH($B103,xx_matrix[command],0)),"")</f>
        <v/>
      </c>
      <c r="K103" t="str">
        <f>IFERROR(INDEX(xx_matrix[SrcObject],MATCH($B103,xx_matrix[command],0)),"")</f>
        <v/>
      </c>
      <c r="L103" t="str">
        <f>IFERROR(INDEX(xx_matrix[TgtModel],MATCH($B103,xx_matrix[command],0)),"")</f>
        <v/>
      </c>
      <c r="M103" t="str">
        <f>IFERROR(INDEX(xx_matrix[TgtObject],MATCH($B103,xx_matrix[command],0)),"")</f>
        <v/>
      </c>
      <c r="N103" t="str">
        <f>IFERROR(INDEX(xx_matrix[Instructions],MATCH($B103,xx_matrix[command],0)),"")</f>
        <v/>
      </c>
    </row>
    <row r="104" spans="1:14">
      <c r="A104" s="19"/>
      <c r="D104" s="36" t="str">
        <f>IF(ISBLANK(B104),"",IF(ISERROR(MATCH(B104,xx_matrix[command],0)),FALSE,IF(ISTEXT(INDEX(xx_matrix[videoLink],MATCH(B104,xx_matrix[command],0),1)),HYPERLINK(INDEX(xx_matrix[videoLink],MATCH(B104,xx_matrix[command],0),1),"_YES_"),"YES")))</f>
        <v/>
      </c>
      <c r="J104" t="str">
        <f>IFERROR(INDEX(xx_matrix[SrcModel],MATCH($B104,xx_matrix[command],0)),"")</f>
        <v/>
      </c>
      <c r="K104" t="str">
        <f>IFERROR(INDEX(xx_matrix[SrcObject],MATCH($B104,xx_matrix[command],0)),"")</f>
        <v/>
      </c>
      <c r="L104" t="str">
        <f>IFERROR(INDEX(xx_matrix[TgtModel],MATCH($B104,xx_matrix[command],0)),"")</f>
        <v/>
      </c>
      <c r="M104" t="str">
        <f>IFERROR(INDEX(xx_matrix[TgtObject],MATCH($B104,xx_matrix[command],0)),"")</f>
        <v/>
      </c>
      <c r="N104" t="str">
        <f>IFERROR(INDEX(xx_matrix[Instructions],MATCH($B104,xx_matrix[command],0)),"")</f>
        <v/>
      </c>
    </row>
    <row r="105" spans="1:14">
      <c r="A105" s="19"/>
      <c r="D105" s="36" t="str">
        <f>IF(ISBLANK(B105),"",IF(ISERROR(MATCH(B105,xx_matrix[command],0)),FALSE,IF(ISTEXT(INDEX(xx_matrix[videoLink],MATCH(B105,xx_matrix[command],0),1)),HYPERLINK(INDEX(xx_matrix[videoLink],MATCH(B105,xx_matrix[command],0),1),"_YES_"),"YES")))</f>
        <v/>
      </c>
      <c r="J105" t="str">
        <f>IFERROR(INDEX(xx_matrix[SrcModel],MATCH($B105,xx_matrix[command],0)),"")</f>
        <v/>
      </c>
      <c r="K105" t="str">
        <f>IFERROR(INDEX(xx_matrix[SrcObject],MATCH($B105,xx_matrix[command],0)),"")</f>
        <v/>
      </c>
      <c r="L105" t="str">
        <f>IFERROR(INDEX(xx_matrix[TgtModel],MATCH($B105,xx_matrix[command],0)),"")</f>
        <v/>
      </c>
      <c r="M105" t="str">
        <f>IFERROR(INDEX(xx_matrix[TgtObject],MATCH($B105,xx_matrix[command],0)),"")</f>
        <v/>
      </c>
      <c r="N105" t="str">
        <f>IFERROR(INDEX(xx_matrix[Instructions],MATCH($B105,xx_matrix[command],0)),"")</f>
        <v/>
      </c>
    </row>
    <row r="106" spans="1:14">
      <c r="A106" s="19"/>
      <c r="D106" s="36" t="str">
        <f>IF(ISBLANK(B106),"",IF(ISERROR(MATCH(B106,xx_matrix[command],0)),FALSE,IF(ISTEXT(INDEX(xx_matrix[videoLink],MATCH(B106,xx_matrix[command],0),1)),HYPERLINK(INDEX(xx_matrix[videoLink],MATCH(B106,xx_matrix[command],0),1),"_YES_"),"YES")))</f>
        <v/>
      </c>
      <c r="J106" t="str">
        <f>IFERROR(INDEX(xx_matrix[SrcModel],MATCH($B106,xx_matrix[command],0)),"")</f>
        <v/>
      </c>
      <c r="K106" t="str">
        <f>IFERROR(INDEX(xx_matrix[SrcObject],MATCH($B106,xx_matrix[command],0)),"")</f>
        <v/>
      </c>
      <c r="L106" t="str">
        <f>IFERROR(INDEX(xx_matrix[TgtModel],MATCH($B106,xx_matrix[command],0)),"")</f>
        <v/>
      </c>
      <c r="M106" t="str">
        <f>IFERROR(INDEX(xx_matrix[TgtObject],MATCH($B106,xx_matrix[command],0)),"")</f>
        <v/>
      </c>
      <c r="N106" t="str">
        <f>IFERROR(INDEX(xx_matrix[Instructions],MATCH($B106,xx_matrix[command],0)),"")</f>
        <v/>
      </c>
    </row>
    <row r="107" spans="1:14">
      <c r="A107" s="19"/>
      <c r="D107" s="36" t="str">
        <f>IF(ISBLANK(B107),"",IF(ISERROR(MATCH(B107,xx_matrix[command],0)),FALSE,IF(ISTEXT(INDEX(xx_matrix[videoLink],MATCH(B107,xx_matrix[command],0),1)),HYPERLINK(INDEX(xx_matrix[videoLink],MATCH(B107,xx_matrix[command],0),1),"_YES_"),"YES")))</f>
        <v/>
      </c>
      <c r="J107" t="str">
        <f>IFERROR(INDEX(xx_matrix[SrcModel],MATCH($B107,xx_matrix[command],0)),"")</f>
        <v/>
      </c>
      <c r="K107" t="str">
        <f>IFERROR(INDEX(xx_matrix[SrcObject],MATCH($B107,xx_matrix[command],0)),"")</f>
        <v/>
      </c>
      <c r="L107" t="str">
        <f>IFERROR(INDEX(xx_matrix[TgtModel],MATCH($B107,xx_matrix[command],0)),"")</f>
        <v/>
      </c>
      <c r="M107" t="str">
        <f>IFERROR(INDEX(xx_matrix[TgtObject],MATCH($B107,xx_matrix[command],0)),"")</f>
        <v/>
      </c>
      <c r="N107" t="str">
        <f>IFERROR(INDEX(xx_matrix[Instructions],MATCH($B107,xx_matrix[command],0)),"")</f>
        <v/>
      </c>
    </row>
    <row r="108" spans="1:14">
      <c r="A108" s="19"/>
      <c r="D108" s="36" t="str">
        <f>IF(ISBLANK(B108),"",IF(ISERROR(MATCH(B108,xx_matrix[command],0)),FALSE,IF(ISTEXT(INDEX(xx_matrix[videoLink],MATCH(B108,xx_matrix[command],0),1)),HYPERLINK(INDEX(xx_matrix[videoLink],MATCH(B108,xx_matrix[command],0),1),"_YES_"),"YES")))</f>
        <v/>
      </c>
      <c r="J108" t="str">
        <f>IFERROR(INDEX(xx_matrix[SrcModel],MATCH($B108,xx_matrix[command],0)),"")</f>
        <v/>
      </c>
      <c r="K108" t="str">
        <f>IFERROR(INDEX(xx_matrix[SrcObject],MATCH($B108,xx_matrix[command],0)),"")</f>
        <v/>
      </c>
      <c r="L108" t="str">
        <f>IFERROR(INDEX(xx_matrix[TgtModel],MATCH($B108,xx_matrix[command],0)),"")</f>
        <v/>
      </c>
      <c r="M108" t="str">
        <f>IFERROR(INDEX(xx_matrix[TgtObject],MATCH($B108,xx_matrix[command],0)),"")</f>
        <v/>
      </c>
      <c r="N108" t="str">
        <f>IFERROR(INDEX(xx_matrix[Instructions],MATCH($B108,xx_matrix[command],0)),"")</f>
        <v/>
      </c>
    </row>
    <row r="109" spans="1:14">
      <c r="A109" s="19"/>
      <c r="D109" s="36" t="str">
        <f>IF(ISBLANK(B109),"",IF(ISERROR(MATCH(B109,xx_matrix[command],0)),FALSE,IF(ISTEXT(INDEX(xx_matrix[videoLink],MATCH(B109,xx_matrix[command],0),1)),HYPERLINK(INDEX(xx_matrix[videoLink],MATCH(B109,xx_matrix[command],0),1),"_YES_"),"YES")))</f>
        <v/>
      </c>
      <c r="J109" t="str">
        <f>IFERROR(INDEX(xx_matrix[SrcModel],MATCH($B109,xx_matrix[command],0)),"")</f>
        <v/>
      </c>
      <c r="K109" t="str">
        <f>IFERROR(INDEX(xx_matrix[SrcObject],MATCH($B109,xx_matrix[command],0)),"")</f>
        <v/>
      </c>
      <c r="L109" t="str">
        <f>IFERROR(INDEX(xx_matrix[TgtModel],MATCH($B109,xx_matrix[command],0)),"")</f>
        <v/>
      </c>
      <c r="M109" t="str">
        <f>IFERROR(INDEX(xx_matrix[TgtObject],MATCH($B109,xx_matrix[command],0)),"")</f>
        <v/>
      </c>
      <c r="N109" t="str">
        <f>IFERROR(INDEX(xx_matrix[Instructions],MATCH($B109,xx_matrix[command],0)),"")</f>
        <v/>
      </c>
    </row>
    <row r="110" spans="1:14">
      <c r="A110" s="19"/>
      <c r="D110" s="36" t="str">
        <f>IF(ISBLANK(B110),"",IF(ISERROR(MATCH(B110,xx_matrix[command],0)),FALSE,IF(ISTEXT(INDEX(xx_matrix[videoLink],MATCH(B110,xx_matrix[command],0),1)),HYPERLINK(INDEX(xx_matrix[videoLink],MATCH(B110,xx_matrix[command],0),1),"_YES_"),"YES")))</f>
        <v/>
      </c>
      <c r="J110" t="str">
        <f>IFERROR(INDEX(xx_matrix[SrcModel],MATCH($B110,xx_matrix[command],0)),"")</f>
        <v/>
      </c>
      <c r="K110" t="str">
        <f>IFERROR(INDEX(xx_matrix[SrcObject],MATCH($B110,xx_matrix[command],0)),"")</f>
        <v/>
      </c>
      <c r="L110" t="str">
        <f>IFERROR(INDEX(xx_matrix[TgtModel],MATCH($B110,xx_matrix[command],0)),"")</f>
        <v/>
      </c>
      <c r="M110" t="str">
        <f>IFERROR(INDEX(xx_matrix[TgtObject],MATCH($B110,xx_matrix[command],0)),"")</f>
        <v/>
      </c>
      <c r="N110" t="str">
        <f>IFERROR(INDEX(xx_matrix[Instructions],MATCH($B110,xx_matrix[command],0)),"")</f>
        <v/>
      </c>
    </row>
    <row r="111" spans="1:14">
      <c r="A111" s="19"/>
      <c r="D111" s="36" t="str">
        <f>IF(ISBLANK(B111),"",IF(ISERROR(MATCH(B111,xx_matrix[command],0)),FALSE,IF(ISTEXT(INDEX(xx_matrix[videoLink],MATCH(B111,xx_matrix[command],0),1)),HYPERLINK(INDEX(xx_matrix[videoLink],MATCH(B111,xx_matrix[command],0),1),"_YES_"),"YES")))</f>
        <v/>
      </c>
      <c r="J111" t="str">
        <f>IFERROR(INDEX(xx_matrix[SrcModel],MATCH($B111,xx_matrix[command],0)),"")</f>
        <v/>
      </c>
      <c r="K111" t="str">
        <f>IFERROR(INDEX(xx_matrix[SrcObject],MATCH($B111,xx_matrix[command],0)),"")</f>
        <v/>
      </c>
      <c r="L111" t="str">
        <f>IFERROR(INDEX(xx_matrix[TgtModel],MATCH($B111,xx_matrix[command],0)),"")</f>
        <v/>
      </c>
      <c r="M111" t="str">
        <f>IFERROR(INDEX(xx_matrix[TgtObject],MATCH($B111,xx_matrix[command],0)),"")</f>
        <v/>
      </c>
      <c r="N111" t="str">
        <f>IFERROR(INDEX(xx_matrix[Instructions],MATCH($B111,xx_matrix[command],0)),"")</f>
        <v/>
      </c>
    </row>
    <row r="112" spans="1:14">
      <c r="A112" s="19"/>
      <c r="D112" s="36" t="str">
        <f>IF(ISBLANK(B112),"",IF(ISERROR(MATCH(B112,xx_matrix[command],0)),FALSE,IF(ISTEXT(INDEX(xx_matrix[videoLink],MATCH(B112,xx_matrix[command],0),1)),HYPERLINK(INDEX(xx_matrix[videoLink],MATCH(B112,xx_matrix[command],0),1),"_YES_"),"YES")))</f>
        <v/>
      </c>
      <c r="J112" t="str">
        <f>IFERROR(INDEX(xx_matrix[SrcModel],MATCH($B112,xx_matrix[command],0)),"")</f>
        <v/>
      </c>
      <c r="K112" t="str">
        <f>IFERROR(INDEX(xx_matrix[SrcObject],MATCH($B112,xx_matrix[command],0)),"")</f>
        <v/>
      </c>
      <c r="L112" t="str">
        <f>IFERROR(INDEX(xx_matrix[TgtModel],MATCH($B112,xx_matrix[command],0)),"")</f>
        <v/>
      </c>
      <c r="M112" t="str">
        <f>IFERROR(INDEX(xx_matrix[TgtObject],MATCH($B112,xx_matrix[command],0)),"")</f>
        <v/>
      </c>
      <c r="N112" t="str">
        <f>IFERROR(INDEX(xx_matrix[Instructions],MATCH($B112,xx_matrix[command],0)),"")</f>
        <v/>
      </c>
    </row>
    <row r="113" spans="1:14">
      <c r="A113" s="19"/>
      <c r="D113" s="36" t="str">
        <f>IF(ISBLANK(B113),"",IF(ISERROR(MATCH(B113,xx_matrix[command],0)),FALSE,IF(ISTEXT(INDEX(xx_matrix[videoLink],MATCH(B113,xx_matrix[command],0),1)),HYPERLINK(INDEX(xx_matrix[videoLink],MATCH(B113,xx_matrix[command],0),1),"_YES_"),"YES")))</f>
        <v/>
      </c>
      <c r="J113" t="str">
        <f>IFERROR(INDEX(xx_matrix[SrcModel],MATCH($B113,xx_matrix[command],0)),"")</f>
        <v/>
      </c>
      <c r="K113" t="str">
        <f>IFERROR(INDEX(xx_matrix[SrcObject],MATCH($B113,xx_matrix[command],0)),"")</f>
        <v/>
      </c>
      <c r="L113" t="str">
        <f>IFERROR(INDEX(xx_matrix[TgtModel],MATCH($B113,xx_matrix[command],0)),"")</f>
        <v/>
      </c>
      <c r="M113" t="str">
        <f>IFERROR(INDEX(xx_matrix[TgtObject],MATCH($B113,xx_matrix[command],0)),"")</f>
        <v/>
      </c>
      <c r="N113" t="str">
        <f>IFERROR(INDEX(xx_matrix[Instructions],MATCH($B113,xx_matrix[command],0)),"")</f>
        <v/>
      </c>
    </row>
    <row r="114" spans="1:14">
      <c r="A114" s="19"/>
      <c r="D114" s="36" t="str">
        <f>IF(ISBLANK(B114),"",IF(ISERROR(MATCH(B114,xx_matrix[command],0)),FALSE,IF(ISTEXT(INDEX(xx_matrix[videoLink],MATCH(B114,xx_matrix[command],0),1)),HYPERLINK(INDEX(xx_matrix[videoLink],MATCH(B114,xx_matrix[command],0),1),"_YES_"),"YES")))</f>
        <v/>
      </c>
      <c r="J114" t="str">
        <f>IFERROR(INDEX(xx_matrix[SrcModel],MATCH($B114,xx_matrix[command],0)),"")</f>
        <v/>
      </c>
      <c r="K114" t="str">
        <f>IFERROR(INDEX(xx_matrix[SrcObject],MATCH($B114,xx_matrix[command],0)),"")</f>
        <v/>
      </c>
      <c r="L114" t="str">
        <f>IFERROR(INDEX(xx_matrix[TgtModel],MATCH($B114,xx_matrix[command],0)),"")</f>
        <v/>
      </c>
      <c r="M114" t="str">
        <f>IFERROR(INDEX(xx_matrix[TgtObject],MATCH($B114,xx_matrix[command],0)),"")</f>
        <v/>
      </c>
      <c r="N114" t="str">
        <f>IFERROR(INDEX(xx_matrix[Instructions],MATCH($B114,xx_matrix[command],0)),"")</f>
        <v/>
      </c>
    </row>
    <row r="115" spans="1:14">
      <c r="A115" s="19"/>
      <c r="D115" s="36" t="str">
        <f>IF(ISBLANK(B115),"",IF(ISERROR(MATCH(B115,xx_matrix[command],0)),FALSE,IF(ISTEXT(INDEX(xx_matrix[videoLink],MATCH(B115,xx_matrix[command],0),1)),HYPERLINK(INDEX(xx_matrix[videoLink],MATCH(B115,xx_matrix[command],0),1),"_YES_"),"YES")))</f>
        <v/>
      </c>
      <c r="J115" t="str">
        <f>IFERROR(INDEX(xx_matrix[SrcModel],MATCH($B115,xx_matrix[command],0)),"")</f>
        <v/>
      </c>
      <c r="K115" t="str">
        <f>IFERROR(INDEX(xx_matrix[SrcObject],MATCH($B115,xx_matrix[command],0)),"")</f>
        <v/>
      </c>
      <c r="L115" t="str">
        <f>IFERROR(INDEX(xx_matrix[TgtModel],MATCH($B115,xx_matrix[command],0)),"")</f>
        <v/>
      </c>
      <c r="M115" t="str">
        <f>IFERROR(INDEX(xx_matrix[TgtObject],MATCH($B115,xx_matrix[command],0)),"")</f>
        <v/>
      </c>
      <c r="N115" t="str">
        <f>IFERROR(INDEX(xx_matrix[Instructions],MATCH($B115,xx_matrix[command],0)),"")</f>
        <v/>
      </c>
    </row>
    <row r="116" spans="1:14">
      <c r="A116" s="19"/>
      <c r="D116" s="36" t="str">
        <f>IF(ISBLANK(B116),"",IF(ISERROR(MATCH(B116,xx_matrix[command],0)),FALSE,IF(ISTEXT(INDEX(xx_matrix[videoLink],MATCH(B116,xx_matrix[command],0),1)),HYPERLINK(INDEX(xx_matrix[videoLink],MATCH(B116,xx_matrix[command],0),1),"_YES_"),"YES")))</f>
        <v/>
      </c>
      <c r="J116" t="str">
        <f>IFERROR(INDEX(xx_matrix[SrcModel],MATCH($B116,xx_matrix[command],0)),"")</f>
        <v/>
      </c>
      <c r="K116" t="str">
        <f>IFERROR(INDEX(xx_matrix[SrcObject],MATCH($B116,xx_matrix[command],0)),"")</f>
        <v/>
      </c>
      <c r="L116" t="str">
        <f>IFERROR(INDEX(xx_matrix[TgtModel],MATCH($B116,xx_matrix[command],0)),"")</f>
        <v/>
      </c>
      <c r="M116" t="str">
        <f>IFERROR(INDEX(xx_matrix[TgtObject],MATCH($B116,xx_matrix[command],0)),"")</f>
        <v/>
      </c>
      <c r="N116" t="str">
        <f>IFERROR(INDEX(xx_matrix[Instructions],MATCH($B116,xx_matrix[command],0)),"")</f>
        <v/>
      </c>
    </row>
    <row r="117" spans="1:14">
      <c r="A117" s="19"/>
      <c r="D117" s="36" t="str">
        <f>IF(ISBLANK(B117),"",IF(ISERROR(MATCH(B117,xx_matrix[command],0)),FALSE,IF(ISTEXT(INDEX(xx_matrix[videoLink],MATCH(B117,xx_matrix[command],0),1)),HYPERLINK(INDEX(xx_matrix[videoLink],MATCH(B117,xx_matrix[command],0),1),"_YES_"),"YES")))</f>
        <v/>
      </c>
      <c r="J117" t="str">
        <f>IFERROR(INDEX(xx_matrix[SrcModel],MATCH($B117,xx_matrix[command],0)),"")</f>
        <v/>
      </c>
      <c r="K117" t="str">
        <f>IFERROR(INDEX(xx_matrix[SrcObject],MATCH($B117,xx_matrix[command],0)),"")</f>
        <v/>
      </c>
      <c r="L117" t="str">
        <f>IFERROR(INDEX(xx_matrix[TgtModel],MATCH($B117,xx_matrix[command],0)),"")</f>
        <v/>
      </c>
      <c r="M117" t="str">
        <f>IFERROR(INDEX(xx_matrix[TgtObject],MATCH($B117,xx_matrix[command],0)),"")</f>
        <v/>
      </c>
      <c r="N117" t="str">
        <f>IFERROR(INDEX(xx_matrix[Instructions],MATCH($B117,xx_matrix[command],0)),"")</f>
        <v/>
      </c>
    </row>
    <row r="118" spans="1:14">
      <c r="A118" s="19"/>
      <c r="D118" s="36" t="str">
        <f>IF(ISBLANK(B118),"",IF(ISERROR(MATCH(B118,xx_matrix[command],0)),FALSE,IF(ISTEXT(INDEX(xx_matrix[videoLink],MATCH(B118,xx_matrix[command],0),1)),HYPERLINK(INDEX(xx_matrix[videoLink],MATCH(B118,xx_matrix[command],0),1),"_YES_"),"YES")))</f>
        <v/>
      </c>
      <c r="J118" t="str">
        <f>IFERROR(INDEX(xx_matrix[SrcModel],MATCH($B118,xx_matrix[command],0)),"")</f>
        <v/>
      </c>
      <c r="K118" t="str">
        <f>IFERROR(INDEX(xx_matrix[SrcObject],MATCH($B118,xx_matrix[command],0)),"")</f>
        <v/>
      </c>
      <c r="L118" t="str">
        <f>IFERROR(INDEX(xx_matrix[TgtModel],MATCH($B118,xx_matrix[command],0)),"")</f>
        <v/>
      </c>
      <c r="M118" t="str">
        <f>IFERROR(INDEX(xx_matrix[TgtObject],MATCH($B118,xx_matrix[command],0)),"")</f>
        <v/>
      </c>
      <c r="N118" t="str">
        <f>IFERROR(INDEX(xx_matrix[Instructions],MATCH($B118,xx_matrix[command],0)),"")</f>
        <v/>
      </c>
    </row>
    <row r="119" spans="1:14">
      <c r="A119" s="19"/>
      <c r="D119" s="36" t="str">
        <f>IF(ISBLANK(B119),"",IF(ISERROR(MATCH(B119,xx_matrix[command],0)),FALSE,IF(ISTEXT(INDEX(xx_matrix[videoLink],MATCH(B119,xx_matrix[command],0),1)),HYPERLINK(INDEX(xx_matrix[videoLink],MATCH(B119,xx_matrix[command],0),1),"_YES_"),"YES")))</f>
        <v/>
      </c>
      <c r="J119" t="str">
        <f>IFERROR(INDEX(xx_matrix[SrcModel],MATCH($B119,xx_matrix[command],0)),"")</f>
        <v/>
      </c>
      <c r="K119" t="str">
        <f>IFERROR(INDEX(xx_matrix[SrcObject],MATCH($B119,xx_matrix[command],0)),"")</f>
        <v/>
      </c>
      <c r="L119" t="str">
        <f>IFERROR(INDEX(xx_matrix[TgtModel],MATCH($B119,xx_matrix[command],0)),"")</f>
        <v/>
      </c>
      <c r="M119" t="str">
        <f>IFERROR(INDEX(xx_matrix[TgtObject],MATCH($B119,xx_matrix[command],0)),"")</f>
        <v/>
      </c>
      <c r="N119" t="str">
        <f>IFERROR(INDEX(xx_matrix[Instructions],MATCH($B119,xx_matrix[command],0)),"")</f>
        <v/>
      </c>
    </row>
    <row r="120" spans="1:14">
      <c r="A120" s="19"/>
      <c r="D120" s="36" t="str">
        <f>IF(ISBLANK(B120),"",IF(ISERROR(MATCH(B120,xx_matrix[command],0)),FALSE,IF(ISTEXT(INDEX(xx_matrix[videoLink],MATCH(B120,xx_matrix[command],0),1)),HYPERLINK(INDEX(xx_matrix[videoLink],MATCH(B120,xx_matrix[command],0),1),"_YES_"),"YES")))</f>
        <v/>
      </c>
      <c r="J120" t="str">
        <f>IFERROR(INDEX(xx_matrix[SrcModel],MATCH($B120,xx_matrix[command],0)),"")</f>
        <v/>
      </c>
      <c r="K120" t="str">
        <f>IFERROR(INDEX(xx_matrix[SrcObject],MATCH($B120,xx_matrix[command],0)),"")</f>
        <v/>
      </c>
      <c r="L120" t="str">
        <f>IFERROR(INDEX(xx_matrix[TgtModel],MATCH($B120,xx_matrix[command],0)),"")</f>
        <v/>
      </c>
      <c r="M120" t="str">
        <f>IFERROR(INDEX(xx_matrix[TgtObject],MATCH($B120,xx_matrix[command],0)),"")</f>
        <v/>
      </c>
      <c r="N120" t="str">
        <f>IFERROR(INDEX(xx_matrix[Instructions],MATCH($B120,xx_matrix[command],0)),"")</f>
        <v/>
      </c>
    </row>
    <row r="121" spans="1:14">
      <c r="A121" s="19"/>
      <c r="D121" s="36" t="str">
        <f>IF(ISBLANK(B121),"",IF(ISERROR(MATCH(B121,xx_matrix[command],0)),FALSE,IF(ISTEXT(INDEX(xx_matrix[videoLink],MATCH(B121,xx_matrix[command],0),1)),HYPERLINK(INDEX(xx_matrix[videoLink],MATCH(B121,xx_matrix[command],0),1),"_YES_"),"YES")))</f>
        <v/>
      </c>
      <c r="J121" t="str">
        <f>IFERROR(INDEX(xx_matrix[SrcModel],MATCH($B121,xx_matrix[command],0)),"")</f>
        <v/>
      </c>
      <c r="K121" t="str">
        <f>IFERROR(INDEX(xx_matrix[SrcObject],MATCH($B121,xx_matrix[command],0)),"")</f>
        <v/>
      </c>
      <c r="L121" t="str">
        <f>IFERROR(INDEX(xx_matrix[TgtModel],MATCH($B121,xx_matrix[command],0)),"")</f>
        <v/>
      </c>
      <c r="M121" t="str">
        <f>IFERROR(INDEX(xx_matrix[TgtObject],MATCH($B121,xx_matrix[command],0)),"")</f>
        <v/>
      </c>
      <c r="N121" t="str">
        <f>IFERROR(INDEX(xx_matrix[Instructions],MATCH($B121,xx_matrix[command],0)),"")</f>
        <v/>
      </c>
    </row>
    <row r="122" spans="1:14">
      <c r="A122" s="19"/>
      <c r="D122" s="36" t="str">
        <f>IF(ISBLANK(B122),"",IF(ISERROR(MATCH(B122,xx_matrix[command],0)),FALSE,IF(ISTEXT(INDEX(xx_matrix[videoLink],MATCH(B122,xx_matrix[command],0),1)),HYPERLINK(INDEX(xx_matrix[videoLink],MATCH(B122,xx_matrix[command],0),1),"_YES_"),"YES")))</f>
        <v/>
      </c>
      <c r="J122" t="str">
        <f>IFERROR(INDEX(xx_matrix[SrcModel],MATCH($B122,xx_matrix[command],0)),"")</f>
        <v/>
      </c>
      <c r="K122" t="str">
        <f>IFERROR(INDEX(xx_matrix[SrcObject],MATCH($B122,xx_matrix[command],0)),"")</f>
        <v/>
      </c>
      <c r="L122" t="str">
        <f>IFERROR(INDEX(xx_matrix[TgtModel],MATCH($B122,xx_matrix[command],0)),"")</f>
        <v/>
      </c>
      <c r="M122" t="str">
        <f>IFERROR(INDEX(xx_matrix[TgtObject],MATCH($B122,xx_matrix[command],0)),"")</f>
        <v/>
      </c>
      <c r="N122" t="str">
        <f>IFERROR(INDEX(xx_matrix[Instructions],MATCH($B122,xx_matrix[command],0)),"")</f>
        <v/>
      </c>
    </row>
    <row r="123" spans="1:14">
      <c r="A123" s="19"/>
      <c r="D123" s="36" t="str">
        <f>IF(ISBLANK(B123),"",IF(ISERROR(MATCH(B123,xx_matrix[command],0)),FALSE,IF(ISTEXT(INDEX(xx_matrix[videoLink],MATCH(B123,xx_matrix[command],0),1)),HYPERLINK(INDEX(xx_matrix[videoLink],MATCH(B123,xx_matrix[command],0),1),"_YES_"),"YES")))</f>
        <v/>
      </c>
      <c r="J123" t="str">
        <f>IFERROR(INDEX(xx_matrix[SrcModel],MATCH($B123,xx_matrix[command],0)),"")</f>
        <v/>
      </c>
      <c r="K123" t="str">
        <f>IFERROR(INDEX(xx_matrix[SrcObject],MATCH($B123,xx_matrix[command],0)),"")</f>
        <v/>
      </c>
      <c r="L123" t="str">
        <f>IFERROR(INDEX(xx_matrix[TgtModel],MATCH($B123,xx_matrix[command],0)),"")</f>
        <v/>
      </c>
      <c r="M123" t="str">
        <f>IFERROR(INDEX(xx_matrix[TgtObject],MATCH($B123,xx_matrix[command],0)),"")</f>
        <v/>
      </c>
      <c r="N123" t="str">
        <f>IFERROR(INDEX(xx_matrix[Instructions],MATCH($B123,xx_matrix[command],0)),"")</f>
        <v/>
      </c>
    </row>
    <row r="124" spans="1:14">
      <c r="A124" s="19"/>
      <c r="D124" s="36" t="str">
        <f>IF(ISBLANK(B124),"",IF(ISERROR(MATCH(B124,xx_matrix[command],0)),FALSE,IF(ISTEXT(INDEX(xx_matrix[videoLink],MATCH(B124,xx_matrix[command],0),1)),HYPERLINK(INDEX(xx_matrix[videoLink],MATCH(B124,xx_matrix[command],0),1),"_YES_"),"YES")))</f>
        <v/>
      </c>
      <c r="J124" t="str">
        <f>IFERROR(INDEX(xx_matrix[SrcModel],MATCH($B124,xx_matrix[command],0)),"")</f>
        <v/>
      </c>
      <c r="K124" t="str">
        <f>IFERROR(INDEX(xx_matrix[SrcObject],MATCH($B124,xx_matrix[command],0)),"")</f>
        <v/>
      </c>
      <c r="L124" t="str">
        <f>IFERROR(INDEX(xx_matrix[TgtModel],MATCH($B124,xx_matrix[command],0)),"")</f>
        <v/>
      </c>
      <c r="M124" t="str">
        <f>IFERROR(INDEX(xx_matrix[TgtObject],MATCH($B124,xx_matrix[command],0)),"")</f>
        <v/>
      </c>
      <c r="N124" t="str">
        <f>IFERROR(INDEX(xx_matrix[Instructions],MATCH($B124,xx_matrix[command],0)),"")</f>
        <v/>
      </c>
    </row>
    <row r="125" spans="1:14">
      <c r="A125" s="19"/>
      <c r="D125" s="36" t="str">
        <f>IF(ISBLANK(B125),"",IF(ISERROR(MATCH(B125,xx_matrix[command],0)),FALSE,IF(ISTEXT(INDEX(xx_matrix[videoLink],MATCH(B125,xx_matrix[command],0),1)),HYPERLINK(INDEX(xx_matrix[videoLink],MATCH(B125,xx_matrix[command],0),1),"_YES_"),"YES")))</f>
        <v/>
      </c>
      <c r="J125" t="str">
        <f>IFERROR(INDEX(xx_matrix[SrcModel],MATCH($B125,xx_matrix[command],0)),"")</f>
        <v/>
      </c>
      <c r="K125" t="str">
        <f>IFERROR(INDEX(xx_matrix[SrcObject],MATCH($B125,xx_matrix[command],0)),"")</f>
        <v/>
      </c>
      <c r="L125" t="str">
        <f>IFERROR(INDEX(xx_matrix[TgtModel],MATCH($B125,xx_matrix[command],0)),"")</f>
        <v/>
      </c>
      <c r="M125" t="str">
        <f>IFERROR(INDEX(xx_matrix[TgtObject],MATCH($B125,xx_matrix[command],0)),"")</f>
        <v/>
      </c>
      <c r="N125" t="str">
        <f>IFERROR(INDEX(xx_matrix[Instructions],MATCH($B125,xx_matrix[command],0)),"")</f>
        <v/>
      </c>
    </row>
    <row r="126" spans="1:14">
      <c r="A126" s="19"/>
      <c r="D126" s="36" t="str">
        <f>IF(ISBLANK(B126),"",IF(ISERROR(MATCH(B126,xx_matrix[command],0)),FALSE,IF(ISTEXT(INDEX(xx_matrix[videoLink],MATCH(B126,xx_matrix[command],0),1)),HYPERLINK(INDEX(xx_matrix[videoLink],MATCH(B126,xx_matrix[command],0),1),"_YES_"),"YES")))</f>
        <v/>
      </c>
      <c r="J126" t="str">
        <f>IFERROR(INDEX(xx_matrix[SrcModel],MATCH($B126,xx_matrix[command],0)),"")</f>
        <v/>
      </c>
      <c r="K126" t="str">
        <f>IFERROR(INDEX(xx_matrix[SrcObject],MATCH($B126,xx_matrix[command],0)),"")</f>
        <v/>
      </c>
      <c r="L126" t="str">
        <f>IFERROR(INDEX(xx_matrix[TgtModel],MATCH($B126,xx_matrix[command],0)),"")</f>
        <v/>
      </c>
      <c r="M126" t="str">
        <f>IFERROR(INDEX(xx_matrix[TgtObject],MATCH($B126,xx_matrix[command],0)),"")</f>
        <v/>
      </c>
      <c r="N126" t="str">
        <f>IFERROR(INDEX(xx_matrix[Instructions],MATCH($B126,xx_matrix[command],0)),"")</f>
        <v/>
      </c>
    </row>
    <row r="127" spans="1:14">
      <c r="A127" s="19"/>
      <c r="D127" s="36" t="str">
        <f>IF(ISBLANK(B127),"",IF(ISERROR(MATCH(B127,xx_matrix[command],0)),FALSE,IF(ISTEXT(INDEX(xx_matrix[videoLink],MATCH(B127,xx_matrix[command],0),1)),HYPERLINK(INDEX(xx_matrix[videoLink],MATCH(B127,xx_matrix[command],0),1),"_YES_"),"YES")))</f>
        <v/>
      </c>
      <c r="J127" t="str">
        <f>IFERROR(INDEX(xx_matrix[SrcModel],MATCH($B127,xx_matrix[command],0)),"")</f>
        <v/>
      </c>
      <c r="K127" t="str">
        <f>IFERROR(INDEX(xx_matrix[SrcObject],MATCH($B127,xx_matrix[command],0)),"")</f>
        <v/>
      </c>
      <c r="L127" t="str">
        <f>IFERROR(INDEX(xx_matrix[TgtModel],MATCH($B127,xx_matrix[command],0)),"")</f>
        <v/>
      </c>
      <c r="M127" t="str">
        <f>IFERROR(INDEX(xx_matrix[TgtObject],MATCH($B127,xx_matrix[command],0)),"")</f>
        <v/>
      </c>
      <c r="N127" t="str">
        <f>IFERROR(INDEX(xx_matrix[Instructions],MATCH($B127,xx_matrix[command],0)),"")</f>
        <v/>
      </c>
    </row>
    <row r="128" spans="1:14">
      <c r="A128" s="19"/>
      <c r="D128" s="36" t="str">
        <f>IF(ISBLANK(B128),"",IF(ISERROR(MATCH(B128,xx_matrix[command],0)),FALSE,IF(ISTEXT(INDEX(xx_matrix[videoLink],MATCH(B128,xx_matrix[command],0),1)),HYPERLINK(INDEX(xx_matrix[videoLink],MATCH(B128,xx_matrix[command],0),1),"_YES_"),"YES")))</f>
        <v/>
      </c>
      <c r="J128" t="str">
        <f>IFERROR(INDEX(xx_matrix[SrcModel],MATCH($B128,xx_matrix[command],0)),"")</f>
        <v/>
      </c>
      <c r="K128" t="str">
        <f>IFERROR(INDEX(xx_matrix[SrcObject],MATCH($B128,xx_matrix[command],0)),"")</f>
        <v/>
      </c>
      <c r="L128" t="str">
        <f>IFERROR(INDEX(xx_matrix[TgtModel],MATCH($B128,xx_matrix[command],0)),"")</f>
        <v/>
      </c>
      <c r="M128" t="str">
        <f>IFERROR(INDEX(xx_matrix[TgtObject],MATCH($B128,xx_matrix[command],0)),"")</f>
        <v/>
      </c>
      <c r="N128" t="str">
        <f>IFERROR(INDEX(xx_matrix[Instructions],MATCH($B128,xx_matrix[command],0)),"")</f>
        <v/>
      </c>
    </row>
    <row r="129" spans="1:14">
      <c r="A129" s="19"/>
      <c r="D129" s="36" t="str">
        <f>IF(ISBLANK(B129),"",IF(ISERROR(MATCH(B129,xx_matrix[command],0)),FALSE,IF(ISTEXT(INDEX(xx_matrix[videoLink],MATCH(B129,xx_matrix[command],0),1)),HYPERLINK(INDEX(xx_matrix[videoLink],MATCH(B129,xx_matrix[command],0),1),"_YES_"),"YES")))</f>
        <v/>
      </c>
      <c r="J129" t="str">
        <f>IFERROR(INDEX(xx_matrix[SrcModel],MATCH($B129,xx_matrix[command],0)),"")</f>
        <v/>
      </c>
      <c r="K129" t="str">
        <f>IFERROR(INDEX(xx_matrix[SrcObject],MATCH($B129,xx_matrix[command],0)),"")</f>
        <v/>
      </c>
      <c r="L129" t="str">
        <f>IFERROR(INDEX(xx_matrix[TgtModel],MATCH($B129,xx_matrix[command],0)),"")</f>
        <v/>
      </c>
      <c r="M129" t="str">
        <f>IFERROR(INDEX(xx_matrix[TgtObject],MATCH($B129,xx_matrix[command],0)),"")</f>
        <v/>
      </c>
      <c r="N129" t="str">
        <f>IFERROR(INDEX(xx_matrix[Instructions],MATCH($B129,xx_matrix[command],0)),"")</f>
        <v/>
      </c>
    </row>
    <row r="130" spans="1:14">
      <c r="A130" s="19"/>
      <c r="D130" s="36" t="str">
        <f>IF(ISBLANK(B130),"",IF(ISERROR(MATCH(B130,xx_matrix[command],0)),FALSE,IF(ISTEXT(INDEX(xx_matrix[videoLink],MATCH(B130,xx_matrix[command],0),1)),HYPERLINK(INDEX(xx_matrix[videoLink],MATCH(B130,xx_matrix[command],0),1),"_YES_"),"YES")))</f>
        <v/>
      </c>
      <c r="J130" t="str">
        <f>IFERROR(INDEX(xx_matrix[SrcModel],MATCH($B130,xx_matrix[command],0)),"")</f>
        <v/>
      </c>
      <c r="K130" t="str">
        <f>IFERROR(INDEX(xx_matrix[SrcObject],MATCH($B130,xx_matrix[command],0)),"")</f>
        <v/>
      </c>
      <c r="L130" t="str">
        <f>IFERROR(INDEX(xx_matrix[TgtModel],MATCH($B130,xx_matrix[command],0)),"")</f>
        <v/>
      </c>
      <c r="M130" t="str">
        <f>IFERROR(INDEX(xx_matrix[TgtObject],MATCH($B130,xx_matrix[command],0)),"")</f>
        <v/>
      </c>
      <c r="N130" t="str">
        <f>IFERROR(INDEX(xx_matrix[Instructions],MATCH($B130,xx_matrix[command],0)),"")</f>
        <v/>
      </c>
    </row>
    <row r="131" spans="1:14">
      <c r="A131" s="19"/>
      <c r="D131" s="36" t="str">
        <f>IF(ISBLANK(B131),"",IF(ISERROR(MATCH(B131,xx_matrix[command],0)),FALSE,IF(ISTEXT(INDEX(xx_matrix[videoLink],MATCH(B131,xx_matrix[command],0),1)),HYPERLINK(INDEX(xx_matrix[videoLink],MATCH(B131,xx_matrix[command],0),1),"_YES_"),"YES")))</f>
        <v/>
      </c>
      <c r="J131" t="str">
        <f>IFERROR(INDEX(xx_matrix[SrcModel],MATCH($B131,xx_matrix[command],0)),"")</f>
        <v/>
      </c>
      <c r="K131" t="str">
        <f>IFERROR(INDEX(xx_matrix[SrcObject],MATCH($B131,xx_matrix[command],0)),"")</f>
        <v/>
      </c>
      <c r="L131" t="str">
        <f>IFERROR(INDEX(xx_matrix[TgtModel],MATCH($B131,xx_matrix[command],0)),"")</f>
        <v/>
      </c>
      <c r="M131" t="str">
        <f>IFERROR(INDEX(xx_matrix[TgtObject],MATCH($B131,xx_matrix[command],0)),"")</f>
        <v/>
      </c>
      <c r="N131" t="str">
        <f>IFERROR(INDEX(xx_matrix[Instructions],MATCH($B131,xx_matrix[command],0)),"")</f>
        <v/>
      </c>
    </row>
    <row r="132" spans="1:14">
      <c r="A132" s="19"/>
      <c r="D132" s="36" t="str">
        <f>IF(ISBLANK(B132),"",IF(ISERROR(MATCH(B132,xx_matrix[command],0)),FALSE,IF(ISTEXT(INDEX(xx_matrix[videoLink],MATCH(B132,xx_matrix[command],0),1)),HYPERLINK(INDEX(xx_matrix[videoLink],MATCH(B132,xx_matrix[command],0),1),"_YES_"),"YES")))</f>
        <v/>
      </c>
      <c r="J132" t="str">
        <f>IFERROR(INDEX(xx_matrix[SrcModel],MATCH($B132,xx_matrix[command],0)),"")</f>
        <v/>
      </c>
      <c r="K132" t="str">
        <f>IFERROR(INDEX(xx_matrix[SrcObject],MATCH($B132,xx_matrix[command],0)),"")</f>
        <v/>
      </c>
      <c r="L132" t="str">
        <f>IFERROR(INDEX(xx_matrix[TgtModel],MATCH($B132,xx_matrix[command],0)),"")</f>
        <v/>
      </c>
      <c r="M132" t="str">
        <f>IFERROR(INDEX(xx_matrix[TgtObject],MATCH($B132,xx_matrix[command],0)),"")</f>
        <v/>
      </c>
      <c r="N132" t="str">
        <f>IFERROR(INDEX(xx_matrix[Instructions],MATCH($B132,xx_matrix[command],0)),"")</f>
        <v/>
      </c>
    </row>
    <row r="133" spans="1:14">
      <c r="A133" s="19"/>
      <c r="D133" s="36" t="str">
        <f>IF(ISBLANK(B133),"",IF(ISERROR(MATCH(B133,xx_matrix[command],0)),FALSE,IF(ISTEXT(INDEX(xx_matrix[videoLink],MATCH(B133,xx_matrix[command],0),1)),HYPERLINK(INDEX(xx_matrix[videoLink],MATCH(B133,xx_matrix[command],0),1),"_YES_"),"YES")))</f>
        <v/>
      </c>
      <c r="J133" t="str">
        <f>IFERROR(INDEX(xx_matrix[SrcModel],MATCH($B133,xx_matrix[command],0)),"")</f>
        <v/>
      </c>
      <c r="K133" t="str">
        <f>IFERROR(INDEX(xx_matrix[SrcObject],MATCH($B133,xx_matrix[command],0)),"")</f>
        <v/>
      </c>
      <c r="L133" t="str">
        <f>IFERROR(INDEX(xx_matrix[TgtModel],MATCH($B133,xx_matrix[command],0)),"")</f>
        <v/>
      </c>
      <c r="M133" t="str">
        <f>IFERROR(INDEX(xx_matrix[TgtObject],MATCH($B133,xx_matrix[command],0)),"")</f>
        <v/>
      </c>
      <c r="N133" t="str">
        <f>IFERROR(INDEX(xx_matrix[Instructions],MATCH($B133,xx_matrix[command],0)),"")</f>
        <v/>
      </c>
    </row>
    <row r="134" spans="1:14">
      <c r="A134" s="19"/>
      <c r="D134" s="36" t="str">
        <f>IF(ISBLANK(B134),"",IF(ISERROR(MATCH(B134,xx_matrix[command],0)),FALSE,IF(ISTEXT(INDEX(xx_matrix[videoLink],MATCH(B134,xx_matrix[command],0),1)),HYPERLINK(INDEX(xx_matrix[videoLink],MATCH(B134,xx_matrix[command],0),1),"_YES_"),"YES")))</f>
        <v/>
      </c>
      <c r="J134" t="str">
        <f>IFERROR(INDEX(xx_matrix[SrcModel],MATCH($B134,xx_matrix[command],0)),"")</f>
        <v/>
      </c>
      <c r="K134" t="str">
        <f>IFERROR(INDEX(xx_matrix[SrcObject],MATCH($B134,xx_matrix[command],0)),"")</f>
        <v/>
      </c>
      <c r="L134" t="str">
        <f>IFERROR(INDEX(xx_matrix[TgtModel],MATCH($B134,xx_matrix[command],0)),"")</f>
        <v/>
      </c>
      <c r="M134" t="str">
        <f>IFERROR(INDEX(xx_matrix[TgtObject],MATCH($B134,xx_matrix[command],0)),"")</f>
        <v/>
      </c>
      <c r="N134" t="str">
        <f>IFERROR(INDEX(xx_matrix[Instructions],MATCH($B134,xx_matrix[command],0)),"")</f>
        <v/>
      </c>
    </row>
    <row r="135" spans="1:14">
      <c r="A135" s="19"/>
      <c r="D135" s="36" t="str">
        <f>IF(ISBLANK(B135),"",IF(ISERROR(MATCH(B135,xx_matrix[command],0)),FALSE,IF(ISTEXT(INDEX(xx_matrix[videoLink],MATCH(B135,xx_matrix[command],0),1)),HYPERLINK(INDEX(xx_matrix[videoLink],MATCH(B135,xx_matrix[command],0),1),"_YES_"),"YES")))</f>
        <v/>
      </c>
      <c r="J135" t="str">
        <f>IFERROR(INDEX(xx_matrix[SrcModel],MATCH($B135,xx_matrix[command],0)),"")</f>
        <v/>
      </c>
      <c r="K135" t="str">
        <f>IFERROR(INDEX(xx_matrix[SrcObject],MATCH($B135,xx_matrix[command],0)),"")</f>
        <v/>
      </c>
      <c r="L135" t="str">
        <f>IFERROR(INDEX(xx_matrix[TgtModel],MATCH($B135,xx_matrix[command],0)),"")</f>
        <v/>
      </c>
      <c r="M135" t="str">
        <f>IFERROR(INDEX(xx_matrix[TgtObject],MATCH($B135,xx_matrix[command],0)),"")</f>
        <v/>
      </c>
      <c r="N135" t="str">
        <f>IFERROR(INDEX(xx_matrix[Instructions],MATCH($B135,xx_matrix[command],0)),"")</f>
        <v/>
      </c>
    </row>
    <row r="136" spans="1:14">
      <c r="A136" s="19"/>
      <c r="D136" s="36" t="str">
        <f>IF(ISBLANK(B136),"",IF(ISERROR(MATCH(B136,xx_matrix[command],0)),FALSE,IF(ISTEXT(INDEX(xx_matrix[videoLink],MATCH(B136,xx_matrix[command],0),1)),HYPERLINK(INDEX(xx_matrix[videoLink],MATCH(B136,xx_matrix[command],0),1),"_YES_"),"YES")))</f>
        <v/>
      </c>
      <c r="J136" t="str">
        <f>IFERROR(INDEX(xx_matrix[SrcModel],MATCH($B136,xx_matrix[command],0)),"")</f>
        <v/>
      </c>
      <c r="K136" t="str">
        <f>IFERROR(INDEX(xx_matrix[SrcObject],MATCH($B136,xx_matrix[command],0)),"")</f>
        <v/>
      </c>
      <c r="L136" t="str">
        <f>IFERROR(INDEX(xx_matrix[TgtModel],MATCH($B136,xx_matrix[command],0)),"")</f>
        <v/>
      </c>
      <c r="M136" t="str">
        <f>IFERROR(INDEX(xx_matrix[TgtObject],MATCH($B136,xx_matrix[command],0)),"")</f>
        <v/>
      </c>
      <c r="N136" t="str">
        <f>IFERROR(INDEX(xx_matrix[Instructions],MATCH($B136,xx_matrix[command],0)),"")</f>
        <v/>
      </c>
    </row>
    <row r="137" spans="1:14">
      <c r="A137" s="19"/>
      <c r="D137" s="36" t="str">
        <f>IF(ISBLANK(B137),"",IF(ISERROR(MATCH(B137,xx_matrix[command],0)),FALSE,IF(ISTEXT(INDEX(xx_matrix[videoLink],MATCH(B137,xx_matrix[command],0),1)),HYPERLINK(INDEX(xx_matrix[videoLink],MATCH(B137,xx_matrix[command],0),1),"_YES_"),"YES")))</f>
        <v/>
      </c>
      <c r="J137" t="str">
        <f>IFERROR(INDEX(xx_matrix[SrcModel],MATCH($B137,xx_matrix[command],0)),"")</f>
        <v/>
      </c>
      <c r="K137" t="str">
        <f>IFERROR(INDEX(xx_matrix[SrcObject],MATCH($B137,xx_matrix[command],0)),"")</f>
        <v/>
      </c>
      <c r="L137" t="str">
        <f>IFERROR(INDEX(xx_matrix[TgtModel],MATCH($B137,xx_matrix[command],0)),"")</f>
        <v/>
      </c>
      <c r="M137" t="str">
        <f>IFERROR(INDEX(xx_matrix[TgtObject],MATCH($B137,xx_matrix[command],0)),"")</f>
        <v/>
      </c>
      <c r="N137" t="str">
        <f>IFERROR(INDEX(xx_matrix[Instructions],MATCH($B137,xx_matrix[command],0)),"")</f>
        <v/>
      </c>
    </row>
    <row r="138" spans="1:14">
      <c r="A138" s="19"/>
      <c r="D138" s="36" t="str">
        <f>IF(ISBLANK(B138),"",IF(ISERROR(MATCH(B138,xx_matrix[command],0)),FALSE,IF(ISTEXT(INDEX(xx_matrix[videoLink],MATCH(B138,xx_matrix[command],0),1)),HYPERLINK(INDEX(xx_matrix[videoLink],MATCH(B138,xx_matrix[command],0),1),"_YES_"),"YES")))</f>
        <v/>
      </c>
      <c r="J138" t="str">
        <f>IFERROR(INDEX(xx_matrix[SrcModel],MATCH($B138,xx_matrix[command],0)),"")</f>
        <v/>
      </c>
      <c r="K138" t="str">
        <f>IFERROR(INDEX(xx_matrix[SrcObject],MATCH($B138,xx_matrix[command],0)),"")</f>
        <v/>
      </c>
      <c r="L138" t="str">
        <f>IFERROR(INDEX(xx_matrix[TgtModel],MATCH($B138,xx_matrix[command],0)),"")</f>
        <v/>
      </c>
      <c r="M138" t="str">
        <f>IFERROR(INDEX(xx_matrix[TgtObject],MATCH($B138,xx_matrix[command],0)),"")</f>
        <v/>
      </c>
      <c r="N138" t="str">
        <f>IFERROR(INDEX(xx_matrix[Instructions],MATCH($B138,xx_matrix[command],0)),"")</f>
        <v/>
      </c>
    </row>
    <row r="139" spans="1:14">
      <c r="A139" s="19"/>
      <c r="D139" s="36" t="str">
        <f>IF(ISBLANK(B139),"",IF(ISERROR(MATCH(B139,xx_matrix[command],0)),FALSE,IF(ISTEXT(INDEX(xx_matrix[videoLink],MATCH(B139,xx_matrix[command],0),1)),HYPERLINK(INDEX(xx_matrix[videoLink],MATCH(B139,xx_matrix[command],0),1),"_YES_"),"YES")))</f>
        <v/>
      </c>
      <c r="J139" t="str">
        <f>IFERROR(INDEX(xx_matrix[SrcModel],MATCH($B139,xx_matrix[command],0)),"")</f>
        <v/>
      </c>
      <c r="K139" t="str">
        <f>IFERROR(INDEX(xx_matrix[SrcObject],MATCH($B139,xx_matrix[command],0)),"")</f>
        <v/>
      </c>
      <c r="L139" t="str">
        <f>IFERROR(INDEX(xx_matrix[TgtModel],MATCH($B139,xx_matrix[command],0)),"")</f>
        <v/>
      </c>
      <c r="M139" t="str">
        <f>IFERROR(INDEX(xx_matrix[TgtObject],MATCH($B139,xx_matrix[command],0)),"")</f>
        <v/>
      </c>
      <c r="N139" t="str">
        <f>IFERROR(INDEX(xx_matrix[Instructions],MATCH($B139,xx_matrix[command],0)),"")</f>
        <v/>
      </c>
    </row>
    <row r="140" spans="1:14">
      <c r="A140" s="19"/>
      <c r="D140" s="36" t="str">
        <f>IF(ISBLANK(B140),"",IF(ISERROR(MATCH(B140,xx_matrix[command],0)),FALSE,IF(ISTEXT(INDEX(xx_matrix[videoLink],MATCH(B140,xx_matrix[command],0),1)),HYPERLINK(INDEX(xx_matrix[videoLink],MATCH(B140,xx_matrix[command],0),1),"_YES_"),"YES")))</f>
        <v/>
      </c>
      <c r="J140" t="str">
        <f>IFERROR(INDEX(xx_matrix[SrcModel],MATCH($B140,xx_matrix[command],0)),"")</f>
        <v/>
      </c>
      <c r="K140" t="str">
        <f>IFERROR(INDEX(xx_matrix[SrcObject],MATCH($B140,xx_matrix[command],0)),"")</f>
        <v/>
      </c>
      <c r="L140" t="str">
        <f>IFERROR(INDEX(xx_matrix[TgtModel],MATCH($B140,xx_matrix[command],0)),"")</f>
        <v/>
      </c>
      <c r="M140" t="str">
        <f>IFERROR(INDEX(xx_matrix[TgtObject],MATCH($B140,xx_matrix[command],0)),"")</f>
        <v/>
      </c>
      <c r="N140" t="str">
        <f>IFERROR(INDEX(xx_matrix[Instructions],MATCH($B140,xx_matrix[command],0)),"")</f>
        <v/>
      </c>
    </row>
    <row r="141" spans="1:14">
      <c r="A141" s="19"/>
      <c r="D141" s="36" t="str">
        <f>IF(ISBLANK(B141),"",IF(ISERROR(MATCH(B141,xx_matrix[command],0)),FALSE,IF(ISTEXT(INDEX(xx_matrix[videoLink],MATCH(B141,xx_matrix[command],0),1)),HYPERLINK(INDEX(xx_matrix[videoLink],MATCH(B141,xx_matrix[command],0),1),"_YES_"),"YES")))</f>
        <v/>
      </c>
      <c r="J141" t="str">
        <f>IFERROR(INDEX(xx_matrix[SrcModel],MATCH($B141,xx_matrix[command],0)),"")</f>
        <v/>
      </c>
      <c r="K141" t="str">
        <f>IFERROR(INDEX(xx_matrix[SrcObject],MATCH($B141,xx_matrix[command],0)),"")</f>
        <v/>
      </c>
      <c r="L141" t="str">
        <f>IFERROR(INDEX(xx_matrix[TgtModel],MATCH($B141,xx_matrix[command],0)),"")</f>
        <v/>
      </c>
      <c r="M141" t="str">
        <f>IFERROR(INDEX(xx_matrix[TgtObject],MATCH($B141,xx_matrix[command],0)),"")</f>
        <v/>
      </c>
      <c r="N141" t="str">
        <f>IFERROR(INDEX(xx_matrix[Instructions],MATCH($B141,xx_matrix[command],0)),"")</f>
        <v/>
      </c>
    </row>
    <row r="142" spans="1:14">
      <c r="A142" s="19"/>
      <c r="D142" s="36" t="str">
        <f>IF(ISBLANK(B142),"",IF(ISERROR(MATCH(B142,xx_matrix[command],0)),FALSE,IF(ISTEXT(INDEX(xx_matrix[videoLink],MATCH(B142,xx_matrix[command],0),1)),HYPERLINK(INDEX(xx_matrix[videoLink],MATCH(B142,xx_matrix[command],0),1),"_YES_"),"YES")))</f>
        <v/>
      </c>
      <c r="J142" t="str">
        <f>IFERROR(INDEX(xx_matrix[SrcModel],MATCH($B142,xx_matrix[command],0)),"")</f>
        <v/>
      </c>
      <c r="K142" t="str">
        <f>IFERROR(INDEX(xx_matrix[SrcObject],MATCH($B142,xx_matrix[command],0)),"")</f>
        <v/>
      </c>
      <c r="L142" t="str">
        <f>IFERROR(INDEX(xx_matrix[TgtModel],MATCH($B142,xx_matrix[command],0)),"")</f>
        <v/>
      </c>
      <c r="M142" t="str">
        <f>IFERROR(INDEX(xx_matrix[TgtObject],MATCH($B142,xx_matrix[command],0)),"")</f>
        <v/>
      </c>
      <c r="N142" t="str">
        <f>IFERROR(INDEX(xx_matrix[Instructions],MATCH($B142,xx_matrix[command],0)),"")</f>
        <v/>
      </c>
    </row>
    <row r="143" spans="1:14">
      <c r="A143" s="19"/>
      <c r="D143" s="36" t="str">
        <f>IF(ISBLANK(B143),"",IF(ISERROR(MATCH(B143,xx_matrix[command],0)),FALSE,IF(ISTEXT(INDEX(xx_matrix[videoLink],MATCH(B143,xx_matrix[command],0),1)),HYPERLINK(INDEX(xx_matrix[videoLink],MATCH(B143,xx_matrix[command],0),1),"_YES_"),"YES")))</f>
        <v/>
      </c>
      <c r="J143" t="str">
        <f>IFERROR(INDEX(xx_matrix[SrcModel],MATCH($B143,xx_matrix[command],0)),"")</f>
        <v/>
      </c>
      <c r="K143" t="str">
        <f>IFERROR(INDEX(xx_matrix[SrcObject],MATCH($B143,xx_matrix[command],0)),"")</f>
        <v/>
      </c>
      <c r="L143" t="str">
        <f>IFERROR(INDEX(xx_matrix[TgtModel],MATCH($B143,xx_matrix[command],0)),"")</f>
        <v/>
      </c>
      <c r="M143" t="str">
        <f>IFERROR(INDEX(xx_matrix[TgtObject],MATCH($B143,xx_matrix[command],0)),"")</f>
        <v/>
      </c>
      <c r="N143" t="str">
        <f>IFERROR(INDEX(xx_matrix[Instructions],MATCH($B143,xx_matrix[command],0)),"")</f>
        <v/>
      </c>
    </row>
    <row r="144" spans="1:14">
      <c r="A144" s="19"/>
      <c r="D144" s="36" t="str">
        <f>IF(ISBLANK(B144),"",IF(ISERROR(MATCH(B144,xx_matrix[command],0)),FALSE,IF(ISTEXT(INDEX(xx_matrix[videoLink],MATCH(B144,xx_matrix[command],0),1)),HYPERLINK(INDEX(xx_matrix[videoLink],MATCH(B144,xx_matrix[command],0),1),"_YES_"),"YES")))</f>
        <v/>
      </c>
      <c r="J144" t="str">
        <f>IFERROR(INDEX(xx_matrix[SrcModel],MATCH($B144,xx_matrix[command],0)),"")</f>
        <v/>
      </c>
      <c r="K144" t="str">
        <f>IFERROR(INDEX(xx_matrix[SrcObject],MATCH($B144,xx_matrix[command],0)),"")</f>
        <v/>
      </c>
      <c r="L144" t="str">
        <f>IFERROR(INDEX(xx_matrix[TgtModel],MATCH($B144,xx_matrix[command],0)),"")</f>
        <v/>
      </c>
      <c r="M144" t="str">
        <f>IFERROR(INDEX(xx_matrix[TgtObject],MATCH($B144,xx_matrix[command],0)),"")</f>
        <v/>
      </c>
      <c r="N144" t="str">
        <f>IFERROR(INDEX(xx_matrix[Instructions],MATCH($B144,xx_matrix[command],0)),"")</f>
        <v/>
      </c>
    </row>
    <row r="145" spans="1:14">
      <c r="A145" s="19"/>
      <c r="D145" s="36" t="str">
        <f>IF(ISBLANK(B145),"",IF(ISERROR(MATCH(B145,xx_matrix[command],0)),FALSE,IF(ISTEXT(INDEX(xx_matrix[videoLink],MATCH(B145,xx_matrix[command],0),1)),HYPERLINK(INDEX(xx_matrix[videoLink],MATCH(B145,xx_matrix[command],0),1),"_YES_"),"YES")))</f>
        <v/>
      </c>
      <c r="J145" t="str">
        <f>IFERROR(INDEX(xx_matrix[SrcModel],MATCH($B145,xx_matrix[command],0)),"")</f>
        <v/>
      </c>
      <c r="K145" t="str">
        <f>IFERROR(INDEX(xx_matrix[SrcObject],MATCH($B145,xx_matrix[command],0)),"")</f>
        <v/>
      </c>
      <c r="L145" t="str">
        <f>IFERROR(INDEX(xx_matrix[TgtModel],MATCH($B145,xx_matrix[command],0)),"")</f>
        <v/>
      </c>
      <c r="M145" t="str">
        <f>IFERROR(INDEX(xx_matrix[TgtObject],MATCH($B145,xx_matrix[command],0)),"")</f>
        <v/>
      </c>
      <c r="N145" t="str">
        <f>IFERROR(INDEX(xx_matrix[Instructions],MATCH($B145,xx_matrix[command],0)),"")</f>
        <v/>
      </c>
    </row>
    <row r="146" spans="1:14">
      <c r="A146" s="19"/>
      <c r="D146" s="36" t="str">
        <f>IF(ISBLANK(B146),"",IF(ISERROR(MATCH(B146,xx_matrix[command],0)),FALSE,IF(ISTEXT(INDEX(xx_matrix[videoLink],MATCH(B146,xx_matrix[command],0),1)),HYPERLINK(INDEX(xx_matrix[videoLink],MATCH(B146,xx_matrix[command],0),1),"_YES_"),"YES")))</f>
        <v/>
      </c>
      <c r="J146" t="str">
        <f>IFERROR(INDEX(xx_matrix[SrcModel],MATCH($B146,xx_matrix[command],0)),"")</f>
        <v/>
      </c>
      <c r="K146" t="str">
        <f>IFERROR(INDEX(xx_matrix[SrcObject],MATCH($B146,xx_matrix[command],0)),"")</f>
        <v/>
      </c>
      <c r="L146" t="str">
        <f>IFERROR(INDEX(xx_matrix[TgtModel],MATCH($B146,xx_matrix[command],0)),"")</f>
        <v/>
      </c>
      <c r="M146" t="str">
        <f>IFERROR(INDEX(xx_matrix[TgtObject],MATCH($B146,xx_matrix[command],0)),"")</f>
        <v/>
      </c>
      <c r="N146" t="str">
        <f>IFERROR(INDEX(xx_matrix[Instructions],MATCH($B146,xx_matrix[command],0)),"")</f>
        <v/>
      </c>
    </row>
    <row r="147" spans="1:14">
      <c r="A147" s="19"/>
      <c r="D147" s="36" t="str">
        <f>IF(ISBLANK(B147),"",IF(ISERROR(MATCH(B147,xx_matrix[command],0)),FALSE,IF(ISTEXT(INDEX(xx_matrix[videoLink],MATCH(B147,xx_matrix[command],0),1)),HYPERLINK(INDEX(xx_matrix[videoLink],MATCH(B147,xx_matrix[command],0),1),"_YES_"),"YES")))</f>
        <v/>
      </c>
      <c r="J147" t="str">
        <f>IFERROR(INDEX(xx_matrix[SrcModel],MATCH($B147,xx_matrix[command],0)),"")</f>
        <v/>
      </c>
      <c r="K147" t="str">
        <f>IFERROR(INDEX(xx_matrix[SrcObject],MATCH($B147,xx_matrix[command],0)),"")</f>
        <v/>
      </c>
      <c r="L147" t="str">
        <f>IFERROR(INDEX(xx_matrix[TgtModel],MATCH($B147,xx_matrix[command],0)),"")</f>
        <v/>
      </c>
      <c r="M147" t="str">
        <f>IFERROR(INDEX(xx_matrix[TgtObject],MATCH($B147,xx_matrix[command],0)),"")</f>
        <v/>
      </c>
      <c r="N147" t="str">
        <f>IFERROR(INDEX(xx_matrix[Instructions],MATCH($B147,xx_matrix[command],0)),"")</f>
        <v/>
      </c>
    </row>
    <row r="148" spans="1:14">
      <c r="A148" s="19"/>
      <c r="D148" s="36" t="str">
        <f>IF(ISBLANK(B148),"",IF(ISERROR(MATCH(B148,xx_matrix[command],0)),FALSE,IF(ISTEXT(INDEX(xx_matrix[videoLink],MATCH(B148,xx_matrix[command],0),1)),HYPERLINK(INDEX(xx_matrix[videoLink],MATCH(B148,xx_matrix[command],0),1),"_YES_"),"YES")))</f>
        <v/>
      </c>
      <c r="J148" t="str">
        <f>IFERROR(INDEX(xx_matrix[SrcModel],MATCH($B148,xx_matrix[command],0)),"")</f>
        <v/>
      </c>
      <c r="K148" t="str">
        <f>IFERROR(INDEX(xx_matrix[SrcObject],MATCH($B148,xx_matrix[command],0)),"")</f>
        <v/>
      </c>
      <c r="L148" t="str">
        <f>IFERROR(INDEX(xx_matrix[TgtModel],MATCH($B148,xx_matrix[command],0)),"")</f>
        <v/>
      </c>
      <c r="M148" t="str">
        <f>IFERROR(INDEX(xx_matrix[TgtObject],MATCH($B148,xx_matrix[command],0)),"")</f>
        <v/>
      </c>
      <c r="N148" t="str">
        <f>IFERROR(INDEX(xx_matrix[Instructions],MATCH($B148,xx_matrix[command],0)),"")</f>
        <v/>
      </c>
    </row>
    <row r="149" spans="1:14">
      <c r="A149" s="19"/>
      <c r="D149" s="36" t="str">
        <f>IF(ISBLANK(B149),"",IF(ISERROR(MATCH(B149,xx_matrix[command],0)),FALSE,IF(ISTEXT(INDEX(xx_matrix[videoLink],MATCH(B149,xx_matrix[command],0),1)),HYPERLINK(INDEX(xx_matrix[videoLink],MATCH(B149,xx_matrix[command],0),1),"_YES_"),"YES")))</f>
        <v/>
      </c>
      <c r="J149" t="str">
        <f>IFERROR(INDEX(xx_matrix[SrcModel],MATCH($B149,xx_matrix[command],0)),"")</f>
        <v/>
      </c>
      <c r="K149" t="str">
        <f>IFERROR(INDEX(xx_matrix[SrcObject],MATCH($B149,xx_matrix[command],0)),"")</f>
        <v/>
      </c>
      <c r="L149" t="str">
        <f>IFERROR(INDEX(xx_matrix[TgtModel],MATCH($B149,xx_matrix[command],0)),"")</f>
        <v/>
      </c>
      <c r="M149" t="str">
        <f>IFERROR(INDEX(xx_matrix[TgtObject],MATCH($B149,xx_matrix[command],0)),"")</f>
        <v/>
      </c>
      <c r="N149" t="str">
        <f>IFERROR(INDEX(xx_matrix[Instructions],MATCH($B149,xx_matrix[command],0)),"")</f>
        <v/>
      </c>
    </row>
    <row r="150" spans="1:14">
      <c r="A150" s="19"/>
      <c r="D150" s="36" t="str">
        <f>IF(ISBLANK(B150),"",IF(ISERROR(MATCH(B150,xx_matrix[command],0)),FALSE,IF(ISTEXT(INDEX(xx_matrix[videoLink],MATCH(B150,xx_matrix[command],0),1)),HYPERLINK(INDEX(xx_matrix[videoLink],MATCH(B150,xx_matrix[command],0),1),"_YES_"),"YES")))</f>
        <v/>
      </c>
      <c r="J150" t="str">
        <f>IFERROR(INDEX(xx_matrix[SrcModel],MATCH($B150,xx_matrix[command],0)),"")</f>
        <v/>
      </c>
      <c r="K150" t="str">
        <f>IFERROR(INDEX(xx_matrix[SrcObject],MATCH($B150,xx_matrix[command],0)),"")</f>
        <v/>
      </c>
      <c r="L150" t="str">
        <f>IFERROR(INDEX(xx_matrix[TgtModel],MATCH($B150,xx_matrix[command],0)),"")</f>
        <v/>
      </c>
      <c r="M150" t="str">
        <f>IFERROR(INDEX(xx_matrix[TgtObject],MATCH($B150,xx_matrix[command],0)),"")</f>
        <v/>
      </c>
      <c r="N150" t="str">
        <f>IFERROR(INDEX(xx_matrix[Instructions],MATCH($B150,xx_matrix[command],0)),"")</f>
        <v/>
      </c>
    </row>
    <row r="151" spans="1:14">
      <c r="A151" s="19"/>
      <c r="D151" s="36" t="str">
        <f>IF(ISBLANK(B151),"",IF(ISERROR(MATCH(B151,xx_matrix[command],0)),FALSE,IF(ISTEXT(INDEX(xx_matrix[videoLink],MATCH(B151,xx_matrix[command],0),1)),HYPERLINK(INDEX(xx_matrix[videoLink],MATCH(B151,xx_matrix[command],0),1),"_YES_"),"YES")))</f>
        <v/>
      </c>
      <c r="J151" t="str">
        <f>IFERROR(INDEX(xx_matrix[SrcModel],MATCH($B151,xx_matrix[command],0)),"")</f>
        <v/>
      </c>
      <c r="K151" t="str">
        <f>IFERROR(INDEX(xx_matrix[SrcObject],MATCH($B151,xx_matrix[command],0)),"")</f>
        <v/>
      </c>
      <c r="L151" t="str">
        <f>IFERROR(INDEX(xx_matrix[TgtModel],MATCH($B151,xx_matrix[command],0)),"")</f>
        <v/>
      </c>
      <c r="M151" t="str">
        <f>IFERROR(INDEX(xx_matrix[TgtObject],MATCH($B151,xx_matrix[command],0)),"")</f>
        <v/>
      </c>
      <c r="N151" t="str">
        <f>IFERROR(INDEX(xx_matrix[Instructions],MATCH($B151,xx_matrix[command],0)),"")</f>
        <v/>
      </c>
    </row>
    <row r="152" spans="1:14">
      <c r="A152" s="19"/>
      <c r="D152" s="36" t="str">
        <f>IF(ISBLANK(B152),"",IF(ISERROR(MATCH(B152,xx_matrix[command],0)),FALSE,IF(ISTEXT(INDEX(xx_matrix[videoLink],MATCH(B152,xx_matrix[command],0),1)),HYPERLINK(INDEX(xx_matrix[videoLink],MATCH(B152,xx_matrix[command],0),1),"_YES_"),"YES")))</f>
        <v/>
      </c>
      <c r="J152" t="str">
        <f>IFERROR(INDEX(xx_matrix[SrcModel],MATCH($B152,xx_matrix[command],0)),"")</f>
        <v/>
      </c>
      <c r="K152" t="str">
        <f>IFERROR(INDEX(xx_matrix[SrcObject],MATCH($B152,xx_matrix[command],0)),"")</f>
        <v/>
      </c>
      <c r="L152" t="str">
        <f>IFERROR(INDEX(xx_matrix[TgtModel],MATCH($B152,xx_matrix[command],0)),"")</f>
        <v/>
      </c>
      <c r="M152" t="str">
        <f>IFERROR(INDEX(xx_matrix[TgtObject],MATCH($B152,xx_matrix[command],0)),"")</f>
        <v/>
      </c>
      <c r="N152" t="str">
        <f>IFERROR(INDEX(xx_matrix[Instructions],MATCH($B152,xx_matrix[command],0)),"")</f>
        <v/>
      </c>
    </row>
    <row r="153" spans="1:14">
      <c r="A153" s="19"/>
      <c r="D153" s="36" t="str">
        <f>IF(ISBLANK(B153),"",IF(ISERROR(MATCH(B153,xx_matrix[command],0)),FALSE,IF(ISTEXT(INDEX(xx_matrix[videoLink],MATCH(B153,xx_matrix[command],0),1)),HYPERLINK(INDEX(xx_matrix[videoLink],MATCH(B153,xx_matrix[command],0),1),"_YES_"),"YES")))</f>
        <v/>
      </c>
      <c r="J153" t="str">
        <f>IFERROR(INDEX(xx_matrix[SrcModel],MATCH($B153,xx_matrix[command],0)),"")</f>
        <v/>
      </c>
      <c r="K153" t="str">
        <f>IFERROR(INDEX(xx_matrix[SrcObject],MATCH($B153,xx_matrix[command],0)),"")</f>
        <v/>
      </c>
      <c r="L153" t="str">
        <f>IFERROR(INDEX(xx_matrix[TgtModel],MATCH($B153,xx_matrix[command],0)),"")</f>
        <v/>
      </c>
      <c r="M153" t="str">
        <f>IFERROR(INDEX(xx_matrix[TgtObject],MATCH($B153,xx_matrix[command],0)),"")</f>
        <v/>
      </c>
      <c r="N153" t="str">
        <f>IFERROR(INDEX(xx_matrix[Instructions],MATCH($B153,xx_matrix[command],0)),"")</f>
        <v/>
      </c>
    </row>
    <row r="154" spans="1:14">
      <c r="A154" s="19"/>
      <c r="D154" s="36" t="str">
        <f>IF(ISBLANK(B154),"",IF(ISERROR(MATCH(B154,xx_matrix[command],0)),FALSE,IF(ISTEXT(INDEX(xx_matrix[videoLink],MATCH(B154,xx_matrix[command],0),1)),HYPERLINK(INDEX(xx_matrix[videoLink],MATCH(B154,xx_matrix[command],0),1),"_YES_"),"YES")))</f>
        <v/>
      </c>
      <c r="J154" t="str">
        <f>IFERROR(INDEX(xx_matrix[SrcModel],MATCH($B154,xx_matrix[command],0)),"")</f>
        <v/>
      </c>
      <c r="K154" t="str">
        <f>IFERROR(INDEX(xx_matrix[SrcObject],MATCH($B154,xx_matrix[command],0)),"")</f>
        <v/>
      </c>
      <c r="L154" t="str">
        <f>IFERROR(INDEX(xx_matrix[TgtModel],MATCH($B154,xx_matrix[command],0)),"")</f>
        <v/>
      </c>
      <c r="M154" t="str">
        <f>IFERROR(INDEX(xx_matrix[TgtObject],MATCH($B154,xx_matrix[command],0)),"")</f>
        <v/>
      </c>
      <c r="N154" t="str">
        <f>IFERROR(INDEX(xx_matrix[Instructions],MATCH($B154,xx_matrix[command],0)),"")</f>
        <v/>
      </c>
    </row>
    <row r="155" spans="1:14">
      <c r="A155" s="19"/>
      <c r="D155" s="36" t="str">
        <f>IF(ISBLANK(B155),"",IF(ISERROR(MATCH(B155,xx_matrix[command],0)),FALSE,IF(ISTEXT(INDEX(xx_matrix[videoLink],MATCH(B155,xx_matrix[command],0),1)),HYPERLINK(INDEX(xx_matrix[videoLink],MATCH(B155,xx_matrix[command],0),1),"_YES_"),"YES")))</f>
        <v/>
      </c>
      <c r="J155" t="str">
        <f>IFERROR(INDEX(xx_matrix[SrcModel],MATCH($B155,xx_matrix[command],0)),"")</f>
        <v/>
      </c>
      <c r="K155" t="str">
        <f>IFERROR(INDEX(xx_matrix[SrcObject],MATCH($B155,xx_matrix[command],0)),"")</f>
        <v/>
      </c>
      <c r="L155" t="str">
        <f>IFERROR(INDEX(xx_matrix[TgtModel],MATCH($B155,xx_matrix[command],0)),"")</f>
        <v/>
      </c>
      <c r="M155" t="str">
        <f>IFERROR(INDEX(xx_matrix[TgtObject],MATCH($B155,xx_matrix[command],0)),"")</f>
        <v/>
      </c>
      <c r="N155" t="str">
        <f>IFERROR(INDEX(xx_matrix[Instructions],MATCH($B155,xx_matrix[command],0)),"")</f>
        <v/>
      </c>
    </row>
    <row r="156" spans="1:14">
      <c r="A156" s="19"/>
      <c r="D156" s="36" t="str">
        <f>IF(ISBLANK(B156),"",IF(ISERROR(MATCH(B156,xx_matrix[command],0)),FALSE,IF(ISTEXT(INDEX(xx_matrix[videoLink],MATCH(B156,xx_matrix[command],0),1)),HYPERLINK(INDEX(xx_matrix[videoLink],MATCH(B156,xx_matrix[command],0),1),"_YES_"),"YES")))</f>
        <v/>
      </c>
      <c r="J156" t="str">
        <f>IFERROR(INDEX(xx_matrix[SrcModel],MATCH($B156,xx_matrix[command],0)),"")</f>
        <v/>
      </c>
      <c r="K156" t="str">
        <f>IFERROR(INDEX(xx_matrix[SrcObject],MATCH($B156,xx_matrix[command],0)),"")</f>
        <v/>
      </c>
      <c r="L156" t="str">
        <f>IFERROR(INDEX(xx_matrix[TgtModel],MATCH($B156,xx_matrix[command],0)),"")</f>
        <v/>
      </c>
      <c r="M156" t="str">
        <f>IFERROR(INDEX(xx_matrix[TgtObject],MATCH($B156,xx_matrix[command],0)),"")</f>
        <v/>
      </c>
      <c r="N156" t="str">
        <f>IFERROR(INDEX(xx_matrix[Instructions],MATCH($B156,xx_matrix[command],0)),"")</f>
        <v/>
      </c>
    </row>
    <row r="157" spans="1:14">
      <c r="A157" s="19"/>
      <c r="D157" s="36" t="str">
        <f>IF(ISBLANK(B157),"",IF(ISERROR(MATCH(B157,xx_matrix[command],0)),FALSE,IF(ISTEXT(INDEX(xx_matrix[videoLink],MATCH(B157,xx_matrix[command],0),1)),HYPERLINK(INDEX(xx_matrix[videoLink],MATCH(B157,xx_matrix[command],0),1),"_YES_"),"YES")))</f>
        <v/>
      </c>
      <c r="J157" t="str">
        <f>IFERROR(INDEX(xx_matrix[SrcModel],MATCH($B157,xx_matrix[command],0)),"")</f>
        <v/>
      </c>
      <c r="K157" t="str">
        <f>IFERROR(INDEX(xx_matrix[SrcObject],MATCH($B157,xx_matrix[command],0)),"")</f>
        <v/>
      </c>
      <c r="L157" t="str">
        <f>IFERROR(INDEX(xx_matrix[TgtModel],MATCH($B157,xx_matrix[command],0)),"")</f>
        <v/>
      </c>
      <c r="M157" t="str">
        <f>IFERROR(INDEX(xx_matrix[TgtObject],MATCH($B157,xx_matrix[command],0)),"")</f>
        <v/>
      </c>
      <c r="N157" t="str">
        <f>IFERROR(INDEX(xx_matrix[Instructions],MATCH($B157,xx_matrix[command],0)),"")</f>
        <v/>
      </c>
    </row>
    <row r="158" spans="1:14">
      <c r="A158" s="19"/>
      <c r="D158" s="36" t="str">
        <f>IF(ISBLANK(B158),"",IF(ISERROR(MATCH(B158,xx_matrix[command],0)),FALSE,IF(ISTEXT(INDEX(xx_matrix[videoLink],MATCH(B158,xx_matrix[command],0),1)),HYPERLINK(INDEX(xx_matrix[videoLink],MATCH(B158,xx_matrix[command],0),1),"_YES_"),"YES")))</f>
        <v/>
      </c>
      <c r="J158" t="str">
        <f>IFERROR(INDEX(xx_matrix[SrcModel],MATCH($B158,xx_matrix[command],0)),"")</f>
        <v/>
      </c>
      <c r="K158" t="str">
        <f>IFERROR(INDEX(xx_matrix[SrcObject],MATCH($B158,xx_matrix[command],0)),"")</f>
        <v/>
      </c>
      <c r="L158" t="str">
        <f>IFERROR(INDEX(xx_matrix[TgtModel],MATCH($B158,xx_matrix[command],0)),"")</f>
        <v/>
      </c>
      <c r="M158" t="str">
        <f>IFERROR(INDEX(xx_matrix[TgtObject],MATCH($B158,xx_matrix[command],0)),"")</f>
        <v/>
      </c>
      <c r="N158" t="str">
        <f>IFERROR(INDEX(xx_matrix[Instructions],MATCH($B158,xx_matrix[command],0)),"")</f>
        <v/>
      </c>
    </row>
    <row r="159" spans="1:14">
      <c r="A159" s="19"/>
      <c r="D159" s="36" t="str">
        <f>IF(ISBLANK(B159),"",IF(ISERROR(MATCH(B159,xx_matrix[command],0)),FALSE,IF(ISTEXT(INDEX(xx_matrix[videoLink],MATCH(B159,xx_matrix[command],0),1)),HYPERLINK(INDEX(xx_matrix[videoLink],MATCH(B159,xx_matrix[command],0),1),"_YES_"),"YES")))</f>
        <v/>
      </c>
      <c r="J159" t="str">
        <f>IFERROR(INDEX(xx_matrix[SrcModel],MATCH($B159,xx_matrix[command],0)),"")</f>
        <v/>
      </c>
      <c r="K159" t="str">
        <f>IFERROR(INDEX(xx_matrix[SrcObject],MATCH($B159,xx_matrix[command],0)),"")</f>
        <v/>
      </c>
      <c r="L159" t="str">
        <f>IFERROR(INDEX(xx_matrix[TgtModel],MATCH($B159,xx_matrix[command],0)),"")</f>
        <v/>
      </c>
      <c r="M159" t="str">
        <f>IFERROR(INDEX(xx_matrix[TgtObject],MATCH($B159,xx_matrix[command],0)),"")</f>
        <v/>
      </c>
      <c r="N159" t="str">
        <f>IFERROR(INDEX(xx_matrix[Instructions],MATCH($B159,xx_matrix[command],0)),"")</f>
        <v/>
      </c>
    </row>
    <row r="160" spans="1:14">
      <c r="A160" s="19"/>
      <c r="D160" s="36" t="str">
        <f>IF(ISBLANK(B160),"",IF(ISERROR(MATCH(B160,xx_matrix[command],0)),FALSE,IF(ISTEXT(INDEX(xx_matrix[videoLink],MATCH(B160,xx_matrix[command],0),1)),HYPERLINK(INDEX(xx_matrix[videoLink],MATCH(B160,xx_matrix[command],0),1),"_YES_"),"YES")))</f>
        <v/>
      </c>
      <c r="J160" t="str">
        <f>IFERROR(INDEX(xx_matrix[SrcModel],MATCH($B160,xx_matrix[command],0)),"")</f>
        <v/>
      </c>
      <c r="K160" t="str">
        <f>IFERROR(INDEX(xx_matrix[SrcObject],MATCH($B160,xx_matrix[command],0)),"")</f>
        <v/>
      </c>
      <c r="L160" t="str">
        <f>IFERROR(INDEX(xx_matrix[TgtModel],MATCH($B160,xx_matrix[command],0)),"")</f>
        <v/>
      </c>
      <c r="M160" t="str">
        <f>IFERROR(INDEX(xx_matrix[TgtObject],MATCH($B160,xx_matrix[command],0)),"")</f>
        <v/>
      </c>
      <c r="N160" t="str">
        <f>IFERROR(INDEX(xx_matrix[Instructions],MATCH($B160,xx_matrix[command],0)),"")</f>
        <v/>
      </c>
    </row>
    <row r="161" spans="1:14">
      <c r="A161" s="19"/>
      <c r="D161" s="36" t="str">
        <f>IF(ISBLANK(B161),"",IF(ISERROR(MATCH(B161,xx_matrix[command],0)),FALSE,IF(ISTEXT(INDEX(xx_matrix[videoLink],MATCH(B161,xx_matrix[command],0),1)),HYPERLINK(INDEX(xx_matrix[videoLink],MATCH(B161,xx_matrix[command],0),1),"_YES_"),"YES")))</f>
        <v/>
      </c>
      <c r="J161" t="str">
        <f>IFERROR(INDEX(xx_matrix[SrcModel],MATCH($B161,xx_matrix[command],0)),"")</f>
        <v/>
      </c>
      <c r="K161" t="str">
        <f>IFERROR(INDEX(xx_matrix[SrcObject],MATCH($B161,xx_matrix[command],0)),"")</f>
        <v/>
      </c>
      <c r="L161" t="str">
        <f>IFERROR(INDEX(xx_matrix[TgtModel],MATCH($B161,xx_matrix[command],0)),"")</f>
        <v/>
      </c>
      <c r="M161" t="str">
        <f>IFERROR(INDEX(xx_matrix[TgtObject],MATCH($B161,xx_matrix[command],0)),"")</f>
        <v/>
      </c>
      <c r="N161" t="str">
        <f>IFERROR(INDEX(xx_matrix[Instructions],MATCH($B161,xx_matrix[command],0)),"")</f>
        <v/>
      </c>
    </row>
    <row r="162" spans="1:14">
      <c r="A162" s="19"/>
      <c r="D162" s="36" t="str">
        <f>IF(ISBLANK(B162),"",IF(ISERROR(MATCH(B162,xx_matrix[command],0)),FALSE,IF(ISTEXT(INDEX(xx_matrix[videoLink],MATCH(B162,xx_matrix[command],0),1)),HYPERLINK(INDEX(xx_matrix[videoLink],MATCH(B162,xx_matrix[command],0),1),"_YES_"),"YES")))</f>
        <v/>
      </c>
      <c r="J162" t="str">
        <f>IFERROR(INDEX(xx_matrix[SrcModel],MATCH($B162,xx_matrix[command],0)),"")</f>
        <v/>
      </c>
      <c r="K162" t="str">
        <f>IFERROR(INDEX(xx_matrix[SrcObject],MATCH($B162,xx_matrix[command],0)),"")</f>
        <v/>
      </c>
      <c r="L162" t="str">
        <f>IFERROR(INDEX(xx_matrix[TgtModel],MATCH($B162,xx_matrix[command],0)),"")</f>
        <v/>
      </c>
      <c r="M162" t="str">
        <f>IFERROR(INDEX(xx_matrix[TgtObject],MATCH($B162,xx_matrix[command],0)),"")</f>
        <v/>
      </c>
      <c r="N162" t="str">
        <f>IFERROR(INDEX(xx_matrix[Instructions],MATCH($B162,xx_matrix[command],0)),"")</f>
        <v/>
      </c>
    </row>
    <row r="163" spans="1:14">
      <c r="A163" s="19"/>
      <c r="D163" s="36" t="str">
        <f>IF(ISBLANK(B163),"",IF(ISERROR(MATCH(B163,xx_matrix[command],0)),FALSE,IF(ISTEXT(INDEX(xx_matrix[videoLink],MATCH(B163,xx_matrix[command],0),1)),HYPERLINK(INDEX(xx_matrix[videoLink],MATCH(B163,xx_matrix[command],0),1),"_YES_"),"YES")))</f>
        <v/>
      </c>
      <c r="J163" t="str">
        <f>IFERROR(INDEX(xx_matrix[SrcModel],MATCH($B163,xx_matrix[command],0)),"")</f>
        <v/>
      </c>
      <c r="K163" t="str">
        <f>IFERROR(INDEX(xx_matrix[SrcObject],MATCH($B163,xx_matrix[command],0)),"")</f>
        <v/>
      </c>
      <c r="L163" t="str">
        <f>IFERROR(INDEX(xx_matrix[TgtModel],MATCH($B163,xx_matrix[command],0)),"")</f>
        <v/>
      </c>
      <c r="M163" t="str">
        <f>IFERROR(INDEX(xx_matrix[TgtObject],MATCH($B163,xx_matrix[command],0)),"")</f>
        <v/>
      </c>
      <c r="N163" t="str">
        <f>IFERROR(INDEX(xx_matrix[Instructions],MATCH($B163,xx_matrix[command],0)),"")</f>
        <v/>
      </c>
    </row>
    <row r="164" spans="1:14">
      <c r="A164" s="19"/>
      <c r="D164" s="36" t="str">
        <f>IF(ISBLANK(B164),"",IF(ISERROR(MATCH(B164,xx_matrix[command],0)),FALSE,IF(ISTEXT(INDEX(xx_matrix[videoLink],MATCH(B164,xx_matrix[command],0),1)),HYPERLINK(INDEX(xx_matrix[videoLink],MATCH(B164,xx_matrix[command],0),1),"_YES_"),"YES")))</f>
        <v/>
      </c>
      <c r="J164" t="str">
        <f>IFERROR(INDEX(xx_matrix[SrcModel],MATCH($B164,xx_matrix[command],0)),"")</f>
        <v/>
      </c>
      <c r="K164" t="str">
        <f>IFERROR(INDEX(xx_matrix[SrcObject],MATCH($B164,xx_matrix[command],0)),"")</f>
        <v/>
      </c>
      <c r="L164" t="str">
        <f>IFERROR(INDEX(xx_matrix[TgtModel],MATCH($B164,xx_matrix[command],0)),"")</f>
        <v/>
      </c>
      <c r="M164" t="str">
        <f>IFERROR(INDEX(xx_matrix[TgtObject],MATCH($B164,xx_matrix[command],0)),"")</f>
        <v/>
      </c>
      <c r="N164" t="str">
        <f>IFERROR(INDEX(xx_matrix[Instructions],MATCH($B164,xx_matrix[command],0)),"")</f>
        <v/>
      </c>
    </row>
    <row r="165" spans="1:14">
      <c r="A165" s="19"/>
      <c r="D165" s="36" t="str">
        <f>IF(ISBLANK(B165),"",IF(ISERROR(MATCH(B165,xx_matrix[command],0)),FALSE,IF(ISTEXT(INDEX(xx_matrix[videoLink],MATCH(B165,xx_matrix[command],0),1)),HYPERLINK(INDEX(xx_matrix[videoLink],MATCH(B165,xx_matrix[command],0),1),"_YES_"),"YES")))</f>
        <v/>
      </c>
      <c r="J165" t="str">
        <f>IFERROR(INDEX(xx_matrix[SrcModel],MATCH($B165,xx_matrix[command],0)),"")</f>
        <v/>
      </c>
      <c r="K165" t="str">
        <f>IFERROR(INDEX(xx_matrix[SrcObject],MATCH($B165,xx_matrix[command],0)),"")</f>
        <v/>
      </c>
      <c r="L165" t="str">
        <f>IFERROR(INDEX(xx_matrix[TgtModel],MATCH($B165,xx_matrix[command],0)),"")</f>
        <v/>
      </c>
      <c r="M165" t="str">
        <f>IFERROR(INDEX(xx_matrix[TgtObject],MATCH($B165,xx_matrix[command],0)),"")</f>
        <v/>
      </c>
      <c r="N165" t="str">
        <f>IFERROR(INDEX(xx_matrix[Instructions],MATCH($B165,xx_matrix[command],0)),"")</f>
        <v/>
      </c>
    </row>
    <row r="166" spans="1:14">
      <c r="A166" s="19"/>
      <c r="D166" s="36" t="str">
        <f>IF(ISBLANK(B166),"",IF(ISERROR(MATCH(B166,xx_matrix[command],0)),FALSE,IF(ISTEXT(INDEX(xx_matrix[videoLink],MATCH(B166,xx_matrix[command],0),1)),HYPERLINK(INDEX(xx_matrix[videoLink],MATCH(B166,xx_matrix[command],0),1),"_YES_"),"YES")))</f>
        <v/>
      </c>
      <c r="J166" t="str">
        <f>IFERROR(INDEX(xx_matrix[SrcModel],MATCH($B166,xx_matrix[command],0)),"")</f>
        <v/>
      </c>
      <c r="K166" t="str">
        <f>IFERROR(INDEX(xx_matrix[SrcObject],MATCH($B166,xx_matrix[command],0)),"")</f>
        <v/>
      </c>
      <c r="L166" t="str">
        <f>IFERROR(INDEX(xx_matrix[TgtModel],MATCH($B166,xx_matrix[command],0)),"")</f>
        <v/>
      </c>
      <c r="M166" t="str">
        <f>IFERROR(INDEX(xx_matrix[TgtObject],MATCH($B166,xx_matrix[command],0)),"")</f>
        <v/>
      </c>
      <c r="N166" t="str">
        <f>IFERROR(INDEX(xx_matrix[Instructions],MATCH($B166,xx_matrix[command],0)),"")</f>
        <v/>
      </c>
    </row>
    <row r="167" spans="1:14">
      <c r="A167" s="19"/>
      <c r="D167" s="36" t="str">
        <f>IF(ISBLANK(B167),"",IF(ISERROR(MATCH(B167,xx_matrix[command],0)),FALSE,IF(ISTEXT(INDEX(xx_matrix[videoLink],MATCH(B167,xx_matrix[command],0),1)),HYPERLINK(INDEX(xx_matrix[videoLink],MATCH(B167,xx_matrix[command],0),1),"_YES_"),"YES")))</f>
        <v/>
      </c>
      <c r="J167" t="str">
        <f>IFERROR(INDEX(xx_matrix[SrcModel],MATCH($B167,xx_matrix[command],0)),"")</f>
        <v/>
      </c>
      <c r="K167" t="str">
        <f>IFERROR(INDEX(xx_matrix[SrcObject],MATCH($B167,xx_matrix[command],0)),"")</f>
        <v/>
      </c>
      <c r="L167" t="str">
        <f>IFERROR(INDEX(xx_matrix[TgtModel],MATCH($B167,xx_matrix[command],0)),"")</f>
        <v/>
      </c>
      <c r="M167" t="str">
        <f>IFERROR(INDEX(xx_matrix[TgtObject],MATCH($B167,xx_matrix[command],0)),"")</f>
        <v/>
      </c>
      <c r="N167" t="str">
        <f>IFERROR(INDEX(xx_matrix[Instructions],MATCH($B167,xx_matrix[command],0)),"")</f>
        <v/>
      </c>
    </row>
    <row r="168" spans="1:14">
      <c r="A168" s="19"/>
      <c r="D168" s="36" t="str">
        <f>IF(ISBLANK(B168),"",IF(ISERROR(MATCH(B168,xx_matrix[command],0)),FALSE,IF(ISTEXT(INDEX(xx_matrix[videoLink],MATCH(B168,xx_matrix[command],0),1)),HYPERLINK(INDEX(xx_matrix[videoLink],MATCH(B168,xx_matrix[command],0),1),"_YES_"),"YES")))</f>
        <v/>
      </c>
      <c r="J168" t="str">
        <f>IFERROR(INDEX(xx_matrix[SrcModel],MATCH($B168,xx_matrix[command],0)),"")</f>
        <v/>
      </c>
      <c r="K168" t="str">
        <f>IFERROR(INDEX(xx_matrix[SrcObject],MATCH($B168,xx_matrix[command],0)),"")</f>
        <v/>
      </c>
      <c r="L168" t="str">
        <f>IFERROR(INDEX(xx_matrix[TgtModel],MATCH($B168,xx_matrix[command],0)),"")</f>
        <v/>
      </c>
      <c r="M168" t="str">
        <f>IFERROR(INDEX(xx_matrix[TgtObject],MATCH($B168,xx_matrix[command],0)),"")</f>
        <v/>
      </c>
      <c r="N168" t="str">
        <f>IFERROR(INDEX(xx_matrix[Instructions],MATCH($B168,xx_matrix[command],0)),"")</f>
        <v/>
      </c>
    </row>
    <row r="169" spans="1:14">
      <c r="A169" s="19"/>
      <c r="D169" s="36" t="str">
        <f>IF(ISBLANK(B169),"",IF(ISERROR(MATCH(B169,xx_matrix[command],0)),FALSE,IF(ISTEXT(INDEX(xx_matrix[videoLink],MATCH(B169,xx_matrix[command],0),1)),HYPERLINK(INDEX(xx_matrix[videoLink],MATCH(B169,xx_matrix[command],0),1),"_YES_"),"YES")))</f>
        <v/>
      </c>
      <c r="J169" t="str">
        <f>IFERROR(INDEX(xx_matrix[SrcModel],MATCH($B169,xx_matrix[command],0)),"")</f>
        <v/>
      </c>
      <c r="K169" t="str">
        <f>IFERROR(INDEX(xx_matrix[SrcObject],MATCH($B169,xx_matrix[command],0)),"")</f>
        <v/>
      </c>
      <c r="L169" t="str">
        <f>IFERROR(INDEX(xx_matrix[TgtModel],MATCH($B169,xx_matrix[command],0)),"")</f>
        <v/>
      </c>
      <c r="M169" t="str">
        <f>IFERROR(INDEX(xx_matrix[TgtObject],MATCH($B169,xx_matrix[command],0)),"")</f>
        <v/>
      </c>
      <c r="N169" t="str">
        <f>IFERROR(INDEX(xx_matrix[Instructions],MATCH($B169,xx_matrix[command],0)),"")</f>
        <v/>
      </c>
    </row>
    <row r="170" spans="1:14">
      <c r="A170" s="19"/>
      <c r="D170" s="36" t="str">
        <f>IF(ISBLANK(B170),"",IF(ISERROR(MATCH(B170,xx_matrix[command],0)),FALSE,IF(ISTEXT(INDEX(xx_matrix[videoLink],MATCH(B170,xx_matrix[command],0),1)),HYPERLINK(INDEX(xx_matrix[videoLink],MATCH(B170,xx_matrix[command],0),1),"_YES_"),"YES")))</f>
        <v/>
      </c>
      <c r="J170" t="str">
        <f>IFERROR(INDEX(xx_matrix[SrcModel],MATCH($B170,xx_matrix[command],0)),"")</f>
        <v/>
      </c>
      <c r="K170" t="str">
        <f>IFERROR(INDEX(xx_matrix[SrcObject],MATCH($B170,xx_matrix[command],0)),"")</f>
        <v/>
      </c>
      <c r="L170" t="str">
        <f>IFERROR(INDEX(xx_matrix[TgtModel],MATCH($B170,xx_matrix[command],0)),"")</f>
        <v/>
      </c>
      <c r="M170" t="str">
        <f>IFERROR(INDEX(xx_matrix[TgtObject],MATCH($B170,xx_matrix[command],0)),"")</f>
        <v/>
      </c>
      <c r="N170" t="str">
        <f>IFERROR(INDEX(xx_matrix[Instructions],MATCH($B170,xx_matrix[command],0)),"")</f>
        <v/>
      </c>
    </row>
    <row r="171" spans="1:14">
      <c r="A171" s="19"/>
      <c r="D171" s="36" t="str">
        <f>IF(ISBLANK(B171),"",IF(ISERROR(MATCH(B171,xx_matrix[command],0)),FALSE,IF(ISTEXT(INDEX(xx_matrix[videoLink],MATCH(B171,xx_matrix[command],0),1)),HYPERLINK(INDEX(xx_matrix[videoLink],MATCH(B171,xx_matrix[command],0),1),"_YES_"),"YES")))</f>
        <v/>
      </c>
      <c r="J171" t="str">
        <f>IFERROR(INDEX(xx_matrix[SrcModel],MATCH($B171,xx_matrix[command],0)),"")</f>
        <v/>
      </c>
      <c r="K171" t="str">
        <f>IFERROR(INDEX(xx_matrix[SrcObject],MATCH($B171,xx_matrix[command],0)),"")</f>
        <v/>
      </c>
      <c r="L171" t="str">
        <f>IFERROR(INDEX(xx_matrix[TgtModel],MATCH($B171,xx_matrix[command],0)),"")</f>
        <v/>
      </c>
      <c r="M171" t="str">
        <f>IFERROR(INDEX(xx_matrix[TgtObject],MATCH($B171,xx_matrix[command],0)),"")</f>
        <v/>
      </c>
      <c r="N171" t="str">
        <f>IFERROR(INDEX(xx_matrix[Instructions],MATCH($B171,xx_matrix[command],0)),"")</f>
        <v/>
      </c>
    </row>
    <row r="172" spans="1:14">
      <c r="A172" s="19"/>
      <c r="D172" s="36" t="str">
        <f>IF(ISBLANK(B172),"",IF(ISERROR(MATCH(B172,xx_matrix[command],0)),FALSE,IF(ISTEXT(INDEX(xx_matrix[videoLink],MATCH(B172,xx_matrix[command],0),1)),HYPERLINK(INDEX(xx_matrix[videoLink],MATCH(B172,xx_matrix[command],0),1),"_YES_"),"YES")))</f>
        <v/>
      </c>
      <c r="J172" t="str">
        <f>IFERROR(INDEX(xx_matrix[SrcModel],MATCH($B172,xx_matrix[command],0)),"")</f>
        <v/>
      </c>
      <c r="K172" t="str">
        <f>IFERROR(INDEX(xx_matrix[SrcObject],MATCH($B172,xx_matrix[command],0)),"")</f>
        <v/>
      </c>
      <c r="L172" t="str">
        <f>IFERROR(INDEX(xx_matrix[TgtModel],MATCH($B172,xx_matrix[command],0)),"")</f>
        <v/>
      </c>
      <c r="M172" t="str">
        <f>IFERROR(INDEX(xx_matrix[TgtObject],MATCH($B172,xx_matrix[command],0)),"")</f>
        <v/>
      </c>
      <c r="N172" t="str">
        <f>IFERROR(INDEX(xx_matrix[Instructions],MATCH($B172,xx_matrix[command],0)),"")</f>
        <v/>
      </c>
    </row>
    <row r="173" spans="1:14">
      <c r="A173" s="19"/>
      <c r="D173" s="36" t="str">
        <f>IF(ISBLANK(B173),"",IF(ISERROR(MATCH(B173,xx_matrix[command],0)),FALSE,IF(ISTEXT(INDEX(xx_matrix[videoLink],MATCH(B173,xx_matrix[command],0),1)),HYPERLINK(INDEX(xx_matrix[videoLink],MATCH(B173,xx_matrix[command],0),1),"_YES_"),"YES")))</f>
        <v/>
      </c>
      <c r="J173" t="str">
        <f>IFERROR(INDEX(xx_matrix[SrcModel],MATCH($B173,xx_matrix[command],0)),"")</f>
        <v/>
      </c>
      <c r="K173" t="str">
        <f>IFERROR(INDEX(xx_matrix[SrcObject],MATCH($B173,xx_matrix[command],0)),"")</f>
        <v/>
      </c>
      <c r="L173" t="str">
        <f>IFERROR(INDEX(xx_matrix[TgtModel],MATCH($B173,xx_matrix[command],0)),"")</f>
        <v/>
      </c>
      <c r="M173" t="str">
        <f>IFERROR(INDEX(xx_matrix[TgtObject],MATCH($B173,xx_matrix[command],0)),"")</f>
        <v/>
      </c>
      <c r="N173" t="str">
        <f>IFERROR(INDEX(xx_matrix[Instructions],MATCH($B173,xx_matrix[command],0)),"")</f>
        <v/>
      </c>
    </row>
    <row r="174" spans="1:14">
      <c r="A174" s="19"/>
      <c r="D174" s="36" t="str">
        <f>IF(ISBLANK(B174),"",IF(ISERROR(MATCH(B174,xx_matrix[command],0)),FALSE,IF(ISTEXT(INDEX(xx_matrix[videoLink],MATCH(B174,xx_matrix[command],0),1)),HYPERLINK(INDEX(xx_matrix[videoLink],MATCH(B174,xx_matrix[command],0),1),"_YES_"),"YES")))</f>
        <v/>
      </c>
      <c r="J174" t="str">
        <f>IFERROR(INDEX(xx_matrix[SrcModel],MATCH($B174,xx_matrix[command],0)),"")</f>
        <v/>
      </c>
      <c r="K174" t="str">
        <f>IFERROR(INDEX(xx_matrix[SrcObject],MATCH($B174,xx_matrix[command],0)),"")</f>
        <v/>
      </c>
      <c r="L174" t="str">
        <f>IFERROR(INDEX(xx_matrix[TgtModel],MATCH($B174,xx_matrix[command],0)),"")</f>
        <v/>
      </c>
      <c r="M174" t="str">
        <f>IFERROR(INDEX(xx_matrix[TgtObject],MATCH($B174,xx_matrix[command],0)),"")</f>
        <v/>
      </c>
      <c r="N174" t="str">
        <f>IFERROR(INDEX(xx_matrix[Instructions],MATCH($B174,xx_matrix[command],0)),"")</f>
        <v/>
      </c>
    </row>
    <row r="175" spans="1:14">
      <c r="A175" s="19"/>
      <c r="D175" s="36" t="str">
        <f>IF(ISBLANK(B175),"",IF(ISERROR(MATCH(B175,xx_matrix[command],0)),FALSE,IF(ISTEXT(INDEX(xx_matrix[videoLink],MATCH(B175,xx_matrix[command],0),1)),HYPERLINK(INDEX(xx_matrix[videoLink],MATCH(B175,xx_matrix[command],0),1),"_YES_"),"YES")))</f>
        <v/>
      </c>
      <c r="J175" t="str">
        <f>IFERROR(INDEX(xx_matrix[SrcModel],MATCH($B175,xx_matrix[command],0)),"")</f>
        <v/>
      </c>
      <c r="K175" t="str">
        <f>IFERROR(INDEX(xx_matrix[SrcObject],MATCH($B175,xx_matrix[command],0)),"")</f>
        <v/>
      </c>
      <c r="L175" t="str">
        <f>IFERROR(INDEX(xx_matrix[TgtModel],MATCH($B175,xx_matrix[command],0)),"")</f>
        <v/>
      </c>
      <c r="M175" t="str">
        <f>IFERROR(INDEX(xx_matrix[TgtObject],MATCH($B175,xx_matrix[command],0)),"")</f>
        <v/>
      </c>
      <c r="N175" t="str">
        <f>IFERROR(INDEX(xx_matrix[Instructions],MATCH($B175,xx_matrix[command],0)),"")</f>
        <v/>
      </c>
    </row>
    <row r="176" spans="1:14">
      <c r="A176" s="19"/>
      <c r="D176" s="36" t="str">
        <f>IF(ISBLANK(B176),"",IF(ISERROR(MATCH(B176,xx_matrix[command],0)),FALSE,IF(ISTEXT(INDEX(xx_matrix[videoLink],MATCH(B176,xx_matrix[command],0),1)),HYPERLINK(INDEX(xx_matrix[videoLink],MATCH(B176,xx_matrix[command],0),1),"_YES_"),"YES")))</f>
        <v/>
      </c>
      <c r="J176" t="str">
        <f>IFERROR(INDEX(xx_matrix[SrcModel],MATCH($B176,xx_matrix[command],0)),"")</f>
        <v/>
      </c>
      <c r="K176" t="str">
        <f>IFERROR(INDEX(xx_matrix[SrcObject],MATCH($B176,xx_matrix[command],0)),"")</f>
        <v/>
      </c>
      <c r="L176" t="str">
        <f>IFERROR(INDEX(xx_matrix[TgtModel],MATCH($B176,xx_matrix[command],0)),"")</f>
        <v/>
      </c>
      <c r="M176" t="str">
        <f>IFERROR(INDEX(xx_matrix[TgtObject],MATCH($B176,xx_matrix[command],0)),"")</f>
        <v/>
      </c>
      <c r="N176" t="str">
        <f>IFERROR(INDEX(xx_matrix[Instructions],MATCH($B176,xx_matrix[command],0)),"")</f>
        <v/>
      </c>
    </row>
    <row r="177" spans="1:14">
      <c r="A177" s="19"/>
      <c r="D177" s="36" t="str">
        <f>IF(ISBLANK(B177),"",IF(ISERROR(MATCH(B177,xx_matrix[command],0)),FALSE,IF(ISTEXT(INDEX(xx_matrix[videoLink],MATCH(B177,xx_matrix[command],0),1)),HYPERLINK(INDEX(xx_matrix[videoLink],MATCH(B177,xx_matrix[command],0),1),"_YES_"),"YES")))</f>
        <v/>
      </c>
      <c r="J177" t="str">
        <f>IFERROR(INDEX(xx_matrix[SrcModel],MATCH($B177,xx_matrix[command],0)),"")</f>
        <v/>
      </c>
      <c r="K177" t="str">
        <f>IFERROR(INDEX(xx_matrix[SrcObject],MATCH($B177,xx_matrix[command],0)),"")</f>
        <v/>
      </c>
      <c r="L177" t="str">
        <f>IFERROR(INDEX(xx_matrix[TgtModel],MATCH($B177,xx_matrix[command],0)),"")</f>
        <v/>
      </c>
      <c r="M177" t="str">
        <f>IFERROR(INDEX(xx_matrix[TgtObject],MATCH($B177,xx_matrix[command],0)),"")</f>
        <v/>
      </c>
      <c r="N177" t="str">
        <f>IFERROR(INDEX(xx_matrix[Instructions],MATCH($B177,xx_matrix[command],0)),"")</f>
        <v/>
      </c>
    </row>
    <row r="178" spans="1:14">
      <c r="A178" s="19"/>
      <c r="D178" s="36" t="str">
        <f>IF(ISBLANK(B178),"",IF(ISERROR(MATCH(B178,xx_matrix[command],0)),FALSE,IF(ISTEXT(INDEX(xx_matrix[videoLink],MATCH(B178,xx_matrix[command],0),1)),HYPERLINK(INDEX(xx_matrix[videoLink],MATCH(B178,xx_matrix[command],0),1),"_YES_"),"YES")))</f>
        <v/>
      </c>
      <c r="J178" t="str">
        <f>IFERROR(INDEX(xx_matrix[SrcModel],MATCH($B178,xx_matrix[command],0)),"")</f>
        <v/>
      </c>
      <c r="K178" t="str">
        <f>IFERROR(INDEX(xx_matrix[SrcObject],MATCH($B178,xx_matrix[command],0)),"")</f>
        <v/>
      </c>
      <c r="L178" t="str">
        <f>IFERROR(INDEX(xx_matrix[TgtModel],MATCH($B178,xx_matrix[command],0)),"")</f>
        <v/>
      </c>
      <c r="M178" t="str">
        <f>IFERROR(INDEX(xx_matrix[TgtObject],MATCH($B178,xx_matrix[command],0)),"")</f>
        <v/>
      </c>
      <c r="N178" t="str">
        <f>IFERROR(INDEX(xx_matrix[Instructions],MATCH($B178,xx_matrix[command],0)),"")</f>
        <v/>
      </c>
    </row>
    <row r="179" spans="1:14">
      <c r="A179" s="19"/>
      <c r="D179" s="36" t="str">
        <f>IF(ISBLANK(B179),"",IF(ISERROR(MATCH(B179,xx_matrix[command],0)),FALSE,IF(ISTEXT(INDEX(xx_matrix[videoLink],MATCH(B179,xx_matrix[command],0),1)),HYPERLINK(INDEX(xx_matrix[videoLink],MATCH(B179,xx_matrix[command],0),1),"_YES_"),"YES")))</f>
        <v/>
      </c>
      <c r="J179" t="str">
        <f>IFERROR(INDEX(xx_matrix[SrcModel],MATCH($B179,xx_matrix[command],0)),"")</f>
        <v/>
      </c>
      <c r="K179" t="str">
        <f>IFERROR(INDEX(xx_matrix[SrcObject],MATCH($B179,xx_matrix[command],0)),"")</f>
        <v/>
      </c>
      <c r="L179" t="str">
        <f>IFERROR(INDEX(xx_matrix[TgtModel],MATCH($B179,xx_matrix[command],0)),"")</f>
        <v/>
      </c>
      <c r="M179" t="str">
        <f>IFERROR(INDEX(xx_matrix[TgtObject],MATCH($B179,xx_matrix[command],0)),"")</f>
        <v/>
      </c>
      <c r="N179" t="str">
        <f>IFERROR(INDEX(xx_matrix[Instructions],MATCH($B179,xx_matrix[command],0)),"")</f>
        <v/>
      </c>
    </row>
    <row r="180" spans="1:14">
      <c r="A180" s="19"/>
      <c r="D180" s="36" t="str">
        <f>IF(ISBLANK(B180),"",IF(ISERROR(MATCH(B180,xx_matrix[command],0)),FALSE,IF(ISTEXT(INDEX(xx_matrix[videoLink],MATCH(B180,xx_matrix[command],0),1)),HYPERLINK(INDEX(xx_matrix[videoLink],MATCH(B180,xx_matrix[command],0),1),"_YES_"),"YES")))</f>
        <v/>
      </c>
      <c r="J180" t="str">
        <f>IFERROR(INDEX(xx_matrix[SrcModel],MATCH($B180,xx_matrix[command],0)),"")</f>
        <v/>
      </c>
      <c r="K180" t="str">
        <f>IFERROR(INDEX(xx_matrix[SrcObject],MATCH($B180,xx_matrix[command],0)),"")</f>
        <v/>
      </c>
      <c r="L180" t="str">
        <f>IFERROR(INDEX(xx_matrix[TgtModel],MATCH($B180,xx_matrix[command],0)),"")</f>
        <v/>
      </c>
      <c r="M180" t="str">
        <f>IFERROR(INDEX(xx_matrix[TgtObject],MATCH($B180,xx_matrix[command],0)),"")</f>
        <v/>
      </c>
      <c r="N180" t="str">
        <f>IFERROR(INDEX(xx_matrix[Instructions],MATCH($B180,xx_matrix[command],0)),"")</f>
        <v/>
      </c>
    </row>
    <row r="181" spans="1:14">
      <c r="A181" s="19"/>
      <c r="D181" s="36" t="str">
        <f>IF(ISBLANK(B181),"",IF(ISERROR(MATCH(B181,xx_matrix[command],0)),FALSE,IF(ISTEXT(INDEX(xx_matrix[videoLink],MATCH(B181,xx_matrix[command],0),1)),HYPERLINK(INDEX(xx_matrix[videoLink],MATCH(B181,xx_matrix[command],0),1),"_YES_"),"YES")))</f>
        <v/>
      </c>
      <c r="J181" t="str">
        <f>IFERROR(INDEX(xx_matrix[SrcModel],MATCH($B181,xx_matrix[command],0)),"")</f>
        <v/>
      </c>
      <c r="K181" t="str">
        <f>IFERROR(INDEX(xx_matrix[SrcObject],MATCH($B181,xx_matrix[command],0)),"")</f>
        <v/>
      </c>
      <c r="L181" t="str">
        <f>IFERROR(INDEX(xx_matrix[TgtModel],MATCH($B181,xx_matrix[command],0)),"")</f>
        <v/>
      </c>
      <c r="M181" t="str">
        <f>IFERROR(INDEX(xx_matrix[TgtObject],MATCH($B181,xx_matrix[command],0)),"")</f>
        <v/>
      </c>
      <c r="N181" t="str">
        <f>IFERROR(INDEX(xx_matrix[Instructions],MATCH($B181,xx_matrix[command],0)),"")</f>
        <v/>
      </c>
    </row>
    <row r="182" spans="1:14">
      <c r="A182" s="19"/>
      <c r="D182" s="36" t="str">
        <f>IF(ISBLANK(B182),"",IF(ISERROR(MATCH(B182,xx_matrix[command],0)),FALSE,IF(ISTEXT(INDEX(xx_matrix[videoLink],MATCH(B182,xx_matrix[command],0),1)),HYPERLINK(INDEX(xx_matrix[videoLink],MATCH(B182,xx_matrix[command],0),1),"_YES_"),"YES")))</f>
        <v/>
      </c>
      <c r="J182" t="str">
        <f>IFERROR(INDEX(xx_matrix[SrcModel],MATCH($B182,xx_matrix[command],0)),"")</f>
        <v/>
      </c>
      <c r="K182" t="str">
        <f>IFERROR(INDEX(xx_matrix[SrcObject],MATCH($B182,xx_matrix[command],0)),"")</f>
        <v/>
      </c>
      <c r="L182" t="str">
        <f>IFERROR(INDEX(xx_matrix[TgtModel],MATCH($B182,xx_matrix[command],0)),"")</f>
        <v/>
      </c>
      <c r="M182" t="str">
        <f>IFERROR(INDEX(xx_matrix[TgtObject],MATCH($B182,xx_matrix[command],0)),"")</f>
        <v/>
      </c>
      <c r="N182" t="str">
        <f>IFERROR(INDEX(xx_matrix[Instructions],MATCH($B182,xx_matrix[command],0)),"")</f>
        <v/>
      </c>
    </row>
    <row r="183" spans="1:14">
      <c r="A183" s="19"/>
      <c r="D183" s="36" t="str">
        <f>IF(ISBLANK(B183),"",IF(ISERROR(MATCH(B183,xx_matrix[command],0)),FALSE,IF(ISTEXT(INDEX(xx_matrix[videoLink],MATCH(B183,xx_matrix[command],0),1)),HYPERLINK(INDEX(xx_matrix[videoLink],MATCH(B183,xx_matrix[command],0),1),"_YES_"),"YES")))</f>
        <v/>
      </c>
      <c r="J183" t="str">
        <f>IFERROR(INDEX(xx_matrix[SrcModel],MATCH($B183,xx_matrix[command],0)),"")</f>
        <v/>
      </c>
      <c r="K183" t="str">
        <f>IFERROR(INDEX(xx_matrix[SrcObject],MATCH($B183,xx_matrix[command],0)),"")</f>
        <v/>
      </c>
      <c r="L183" t="str">
        <f>IFERROR(INDEX(xx_matrix[TgtModel],MATCH($B183,xx_matrix[command],0)),"")</f>
        <v/>
      </c>
      <c r="M183" t="str">
        <f>IFERROR(INDEX(xx_matrix[TgtObject],MATCH($B183,xx_matrix[command],0)),"")</f>
        <v/>
      </c>
      <c r="N183" t="str">
        <f>IFERROR(INDEX(xx_matrix[Instructions],MATCH($B183,xx_matrix[command],0)),"")</f>
        <v/>
      </c>
    </row>
    <row r="184" spans="1:14">
      <c r="A184" s="19"/>
      <c r="D184" s="36" t="str">
        <f>IF(ISBLANK(B184),"",IF(ISERROR(MATCH(B184,xx_matrix[command],0)),FALSE,IF(ISTEXT(INDEX(xx_matrix[videoLink],MATCH(B184,xx_matrix[command],0),1)),HYPERLINK(INDEX(xx_matrix[videoLink],MATCH(B184,xx_matrix[command],0),1),"_YES_"),"YES")))</f>
        <v/>
      </c>
      <c r="J184" t="str">
        <f>IFERROR(INDEX(xx_matrix[SrcModel],MATCH($B184,xx_matrix[command],0)),"")</f>
        <v/>
      </c>
      <c r="K184" t="str">
        <f>IFERROR(INDEX(xx_matrix[SrcObject],MATCH($B184,xx_matrix[command],0)),"")</f>
        <v/>
      </c>
      <c r="L184" t="str">
        <f>IFERROR(INDEX(xx_matrix[TgtModel],MATCH($B184,xx_matrix[command],0)),"")</f>
        <v/>
      </c>
      <c r="M184" t="str">
        <f>IFERROR(INDEX(xx_matrix[TgtObject],MATCH($B184,xx_matrix[command],0)),"")</f>
        <v/>
      </c>
      <c r="N184" t="str">
        <f>IFERROR(INDEX(xx_matrix[Instructions],MATCH($B184,xx_matrix[command],0)),"")</f>
        <v/>
      </c>
    </row>
    <row r="185" spans="1:14">
      <c r="A185" s="19"/>
      <c r="D185" s="36" t="str">
        <f>IF(ISBLANK(B185),"",IF(ISERROR(MATCH(B185,xx_matrix[command],0)),FALSE,IF(ISTEXT(INDEX(xx_matrix[videoLink],MATCH(B185,xx_matrix[command],0),1)),HYPERLINK(INDEX(xx_matrix[videoLink],MATCH(B185,xx_matrix[command],0),1),"_YES_"),"YES")))</f>
        <v/>
      </c>
      <c r="J185" t="str">
        <f>IFERROR(INDEX(xx_matrix[SrcModel],MATCH($B185,xx_matrix[command],0)),"")</f>
        <v/>
      </c>
      <c r="K185" t="str">
        <f>IFERROR(INDEX(xx_matrix[SrcObject],MATCH($B185,xx_matrix[command],0)),"")</f>
        <v/>
      </c>
      <c r="L185" t="str">
        <f>IFERROR(INDEX(xx_matrix[TgtModel],MATCH($B185,xx_matrix[command],0)),"")</f>
        <v/>
      </c>
      <c r="M185" t="str">
        <f>IFERROR(INDEX(xx_matrix[TgtObject],MATCH($B185,xx_matrix[command],0)),"")</f>
        <v/>
      </c>
      <c r="N185" t="str">
        <f>IFERROR(INDEX(xx_matrix[Instructions],MATCH($B185,xx_matrix[command],0)),"")</f>
        <v/>
      </c>
    </row>
    <row r="186" spans="1:14">
      <c r="A186" s="19"/>
      <c r="D186" s="36" t="str">
        <f>IF(ISBLANK(B186),"",IF(ISERROR(MATCH(B186,xx_matrix[command],0)),FALSE,IF(ISTEXT(INDEX(xx_matrix[videoLink],MATCH(B186,xx_matrix[command],0),1)),HYPERLINK(INDEX(xx_matrix[videoLink],MATCH(B186,xx_matrix[command],0),1),"_YES_"),"YES")))</f>
        <v/>
      </c>
      <c r="J186" t="str">
        <f>IFERROR(INDEX(xx_matrix[SrcModel],MATCH($B186,xx_matrix[command],0)),"")</f>
        <v/>
      </c>
      <c r="K186" t="str">
        <f>IFERROR(INDEX(xx_matrix[SrcObject],MATCH($B186,xx_matrix[command],0)),"")</f>
        <v/>
      </c>
      <c r="L186" t="str">
        <f>IFERROR(INDEX(xx_matrix[TgtModel],MATCH($B186,xx_matrix[command],0)),"")</f>
        <v/>
      </c>
      <c r="M186" t="str">
        <f>IFERROR(INDEX(xx_matrix[TgtObject],MATCH($B186,xx_matrix[command],0)),"")</f>
        <v/>
      </c>
      <c r="N186" t="str">
        <f>IFERROR(INDEX(xx_matrix[Instructions],MATCH($B186,xx_matrix[command],0)),"")</f>
        <v/>
      </c>
    </row>
    <row r="187" spans="1:14">
      <c r="A187" s="19"/>
      <c r="D187" s="36" t="str">
        <f>IF(ISBLANK(B187),"",IF(ISERROR(MATCH(B187,xx_matrix[command],0)),FALSE,IF(ISTEXT(INDEX(xx_matrix[videoLink],MATCH(B187,xx_matrix[command],0),1)),HYPERLINK(INDEX(xx_matrix[videoLink],MATCH(B187,xx_matrix[command],0),1),"_YES_"),"YES")))</f>
        <v/>
      </c>
      <c r="J187" t="str">
        <f>IFERROR(INDEX(xx_matrix[SrcModel],MATCH($B187,xx_matrix[command],0)),"")</f>
        <v/>
      </c>
      <c r="K187" t="str">
        <f>IFERROR(INDEX(xx_matrix[SrcObject],MATCH($B187,xx_matrix[command],0)),"")</f>
        <v/>
      </c>
      <c r="L187" t="str">
        <f>IFERROR(INDEX(xx_matrix[TgtModel],MATCH($B187,xx_matrix[command],0)),"")</f>
        <v/>
      </c>
      <c r="M187" t="str">
        <f>IFERROR(INDEX(xx_matrix[TgtObject],MATCH($B187,xx_matrix[command],0)),"")</f>
        <v/>
      </c>
      <c r="N187" t="str">
        <f>IFERROR(INDEX(xx_matrix[Instructions],MATCH($B187,xx_matrix[command],0)),"")</f>
        <v/>
      </c>
    </row>
    <row r="188" spans="1:14">
      <c r="A188" s="19"/>
      <c r="D188" s="36" t="str">
        <f>IF(ISBLANK(B188),"",IF(ISERROR(MATCH(B188,xx_matrix[command],0)),FALSE,IF(ISTEXT(INDEX(xx_matrix[videoLink],MATCH(B188,xx_matrix[command],0),1)),HYPERLINK(INDEX(xx_matrix[videoLink],MATCH(B188,xx_matrix[command],0),1),"_YES_"),"YES")))</f>
        <v/>
      </c>
      <c r="J188" t="str">
        <f>IFERROR(INDEX(xx_matrix[SrcModel],MATCH($B188,xx_matrix[command],0)),"")</f>
        <v/>
      </c>
      <c r="K188" t="str">
        <f>IFERROR(INDEX(xx_matrix[SrcObject],MATCH($B188,xx_matrix[command],0)),"")</f>
        <v/>
      </c>
      <c r="L188" t="str">
        <f>IFERROR(INDEX(xx_matrix[TgtModel],MATCH($B188,xx_matrix[command],0)),"")</f>
        <v/>
      </c>
      <c r="M188" t="str">
        <f>IFERROR(INDEX(xx_matrix[TgtObject],MATCH($B188,xx_matrix[command],0)),"")</f>
        <v/>
      </c>
      <c r="N188" t="str">
        <f>IFERROR(INDEX(xx_matrix[Instructions],MATCH($B188,xx_matrix[command],0)),"")</f>
        <v/>
      </c>
    </row>
    <row r="189" spans="1:14">
      <c r="A189" s="19"/>
      <c r="D189" s="36" t="str">
        <f>IF(ISBLANK(B189),"",IF(ISERROR(MATCH(B189,xx_matrix[command],0)),FALSE,IF(ISTEXT(INDEX(xx_matrix[videoLink],MATCH(B189,xx_matrix[command],0),1)),HYPERLINK(INDEX(xx_matrix[videoLink],MATCH(B189,xx_matrix[command],0),1),"_YES_"),"YES")))</f>
        <v/>
      </c>
      <c r="J189" t="str">
        <f>IFERROR(INDEX(xx_matrix[SrcModel],MATCH($B189,xx_matrix[command],0)),"")</f>
        <v/>
      </c>
      <c r="K189" t="str">
        <f>IFERROR(INDEX(xx_matrix[SrcObject],MATCH($B189,xx_matrix[command],0)),"")</f>
        <v/>
      </c>
      <c r="L189" t="str">
        <f>IFERROR(INDEX(xx_matrix[TgtModel],MATCH($B189,xx_matrix[command],0)),"")</f>
        <v/>
      </c>
      <c r="M189" t="str">
        <f>IFERROR(INDEX(xx_matrix[TgtObject],MATCH($B189,xx_matrix[command],0)),"")</f>
        <v/>
      </c>
      <c r="N189" t="str">
        <f>IFERROR(INDEX(xx_matrix[Instructions],MATCH($B189,xx_matrix[command],0)),"")</f>
        <v/>
      </c>
    </row>
    <row r="190" spans="1:14">
      <c r="A190" s="19"/>
      <c r="D190" s="36" t="str">
        <f>IF(ISBLANK(B190),"",IF(ISERROR(MATCH(B190,xx_matrix[command],0)),FALSE,IF(ISTEXT(INDEX(xx_matrix[videoLink],MATCH(B190,xx_matrix[command],0),1)),HYPERLINK(INDEX(xx_matrix[videoLink],MATCH(B190,xx_matrix[command],0),1),"_YES_"),"YES")))</f>
        <v/>
      </c>
      <c r="J190" t="str">
        <f>IFERROR(INDEX(xx_matrix[SrcModel],MATCH($B190,xx_matrix[command],0)),"")</f>
        <v/>
      </c>
      <c r="K190" t="str">
        <f>IFERROR(INDEX(xx_matrix[SrcObject],MATCH($B190,xx_matrix[command],0)),"")</f>
        <v/>
      </c>
      <c r="L190" t="str">
        <f>IFERROR(INDEX(xx_matrix[TgtModel],MATCH($B190,xx_matrix[command],0)),"")</f>
        <v/>
      </c>
      <c r="M190" t="str">
        <f>IFERROR(INDEX(xx_matrix[TgtObject],MATCH($B190,xx_matrix[command],0)),"")</f>
        <v/>
      </c>
      <c r="N190" t="str">
        <f>IFERROR(INDEX(xx_matrix[Instructions],MATCH($B190,xx_matrix[command],0)),"")</f>
        <v/>
      </c>
    </row>
    <row r="191" spans="1:14">
      <c r="A191" s="19"/>
      <c r="D191" s="36" t="str">
        <f>IF(ISBLANK(B191),"",IF(ISERROR(MATCH(B191,xx_matrix[command],0)),FALSE,IF(ISTEXT(INDEX(xx_matrix[videoLink],MATCH(B191,xx_matrix[command],0),1)),HYPERLINK(INDEX(xx_matrix[videoLink],MATCH(B191,xx_matrix[command],0),1),"_YES_"),"YES")))</f>
        <v/>
      </c>
      <c r="J191" t="str">
        <f>IFERROR(INDEX(xx_matrix[SrcModel],MATCH($B191,xx_matrix[command],0)),"")</f>
        <v/>
      </c>
      <c r="K191" t="str">
        <f>IFERROR(INDEX(xx_matrix[SrcObject],MATCH($B191,xx_matrix[command],0)),"")</f>
        <v/>
      </c>
      <c r="L191" t="str">
        <f>IFERROR(INDEX(xx_matrix[TgtModel],MATCH($B191,xx_matrix[command],0)),"")</f>
        <v/>
      </c>
      <c r="M191" t="str">
        <f>IFERROR(INDEX(xx_matrix[TgtObject],MATCH($B191,xx_matrix[command],0)),"")</f>
        <v/>
      </c>
      <c r="N191" t="str">
        <f>IFERROR(INDEX(xx_matrix[Instructions],MATCH($B191,xx_matrix[command],0)),"")</f>
        <v/>
      </c>
    </row>
    <row r="192" spans="1:14">
      <c r="A192" s="19"/>
      <c r="D192" s="36" t="str">
        <f>IF(ISBLANK(B192),"",IF(ISERROR(MATCH(B192,xx_matrix[command],0)),FALSE,IF(ISTEXT(INDEX(xx_matrix[videoLink],MATCH(B192,xx_matrix[command],0),1)),HYPERLINK(INDEX(xx_matrix[videoLink],MATCH(B192,xx_matrix[command],0),1),"_YES_"),"YES")))</f>
        <v/>
      </c>
      <c r="J192" t="str">
        <f>IFERROR(INDEX(xx_matrix[SrcModel],MATCH($B192,xx_matrix[command],0)),"")</f>
        <v/>
      </c>
      <c r="K192" t="str">
        <f>IFERROR(INDEX(xx_matrix[SrcObject],MATCH($B192,xx_matrix[command],0)),"")</f>
        <v/>
      </c>
      <c r="L192" t="str">
        <f>IFERROR(INDEX(xx_matrix[TgtModel],MATCH($B192,xx_matrix[command],0)),"")</f>
        <v/>
      </c>
      <c r="M192" t="str">
        <f>IFERROR(INDEX(xx_matrix[TgtObject],MATCH($B192,xx_matrix[command],0)),"")</f>
        <v/>
      </c>
      <c r="N192" t="str">
        <f>IFERROR(INDEX(xx_matrix[Instructions],MATCH($B192,xx_matrix[command],0)),"")</f>
        <v/>
      </c>
    </row>
    <row r="193" spans="1:14">
      <c r="A193" s="19"/>
      <c r="D193" s="36" t="str">
        <f>IF(ISBLANK(B193),"",IF(ISERROR(MATCH(B193,xx_matrix[command],0)),FALSE,IF(ISTEXT(INDEX(xx_matrix[videoLink],MATCH(B193,xx_matrix[command],0),1)),HYPERLINK(INDEX(xx_matrix[videoLink],MATCH(B193,xx_matrix[command],0),1),"_YES_"),"YES")))</f>
        <v/>
      </c>
      <c r="J193" t="str">
        <f>IFERROR(INDEX(xx_matrix[SrcModel],MATCH($B193,xx_matrix[command],0)),"")</f>
        <v/>
      </c>
      <c r="K193" t="str">
        <f>IFERROR(INDEX(xx_matrix[SrcObject],MATCH($B193,xx_matrix[command],0)),"")</f>
        <v/>
      </c>
      <c r="L193" t="str">
        <f>IFERROR(INDEX(xx_matrix[TgtModel],MATCH($B193,xx_matrix[command],0)),"")</f>
        <v/>
      </c>
      <c r="M193" t="str">
        <f>IFERROR(INDEX(xx_matrix[TgtObject],MATCH($B193,xx_matrix[command],0)),"")</f>
        <v/>
      </c>
      <c r="N193" t="str">
        <f>IFERROR(INDEX(xx_matrix[Instructions],MATCH($B193,xx_matrix[command],0)),"")</f>
        <v/>
      </c>
    </row>
    <row r="194" spans="1:14">
      <c r="A194" s="19"/>
      <c r="D194" s="36" t="str">
        <f>IF(ISBLANK(B194),"",IF(ISERROR(MATCH(B194,xx_matrix[command],0)),FALSE,IF(ISTEXT(INDEX(xx_matrix[videoLink],MATCH(B194,xx_matrix[command],0),1)),HYPERLINK(INDEX(xx_matrix[videoLink],MATCH(B194,xx_matrix[command],0),1),"_YES_"),"YES")))</f>
        <v/>
      </c>
      <c r="J194" t="str">
        <f>IFERROR(INDEX(xx_matrix[SrcModel],MATCH($B194,xx_matrix[command],0)),"")</f>
        <v/>
      </c>
      <c r="K194" t="str">
        <f>IFERROR(INDEX(xx_matrix[SrcObject],MATCH($B194,xx_matrix[command],0)),"")</f>
        <v/>
      </c>
      <c r="L194" t="str">
        <f>IFERROR(INDEX(xx_matrix[TgtModel],MATCH($B194,xx_matrix[command],0)),"")</f>
        <v/>
      </c>
      <c r="M194" t="str">
        <f>IFERROR(INDEX(xx_matrix[TgtObject],MATCH($B194,xx_matrix[command],0)),"")</f>
        <v/>
      </c>
      <c r="N194" t="str">
        <f>IFERROR(INDEX(xx_matrix[Instructions],MATCH($B194,xx_matrix[command],0)),"")</f>
        <v/>
      </c>
    </row>
    <row r="195" spans="1:14">
      <c r="A195" s="19"/>
      <c r="D195" s="36" t="str">
        <f>IF(ISBLANK(B195),"",IF(ISERROR(MATCH(B195,xx_matrix[command],0)),FALSE,IF(ISTEXT(INDEX(xx_matrix[videoLink],MATCH(B195,xx_matrix[command],0),1)),HYPERLINK(INDEX(xx_matrix[videoLink],MATCH(B195,xx_matrix[command],0),1),"_YES_"),"YES")))</f>
        <v/>
      </c>
      <c r="J195" t="str">
        <f>IFERROR(INDEX(xx_matrix[SrcModel],MATCH($B195,xx_matrix[command],0)),"")</f>
        <v/>
      </c>
      <c r="K195" t="str">
        <f>IFERROR(INDEX(xx_matrix[SrcObject],MATCH($B195,xx_matrix[command],0)),"")</f>
        <v/>
      </c>
      <c r="L195" t="str">
        <f>IFERROR(INDEX(xx_matrix[TgtModel],MATCH($B195,xx_matrix[command],0)),"")</f>
        <v/>
      </c>
      <c r="M195" t="str">
        <f>IFERROR(INDEX(xx_matrix[TgtObject],MATCH($B195,xx_matrix[command],0)),"")</f>
        <v/>
      </c>
      <c r="N195" t="str">
        <f>IFERROR(INDEX(xx_matrix[Instructions],MATCH($B195,xx_matrix[command],0)),"")</f>
        <v/>
      </c>
    </row>
    <row r="196" spans="1:14">
      <c r="A196" s="19"/>
      <c r="D196" s="36" t="str">
        <f>IF(ISBLANK(B196),"",IF(ISERROR(MATCH(B196,xx_matrix[command],0)),FALSE,IF(ISTEXT(INDEX(xx_matrix[videoLink],MATCH(B196,xx_matrix[command],0),1)),HYPERLINK(INDEX(xx_matrix[videoLink],MATCH(B196,xx_matrix[command],0),1),"_YES_"),"YES")))</f>
        <v/>
      </c>
      <c r="J196" t="str">
        <f>IFERROR(INDEX(xx_matrix[SrcModel],MATCH($B196,xx_matrix[command],0)),"")</f>
        <v/>
      </c>
      <c r="K196" t="str">
        <f>IFERROR(INDEX(xx_matrix[SrcObject],MATCH($B196,xx_matrix[command],0)),"")</f>
        <v/>
      </c>
      <c r="L196" t="str">
        <f>IFERROR(INDEX(xx_matrix[TgtModel],MATCH($B196,xx_matrix[command],0)),"")</f>
        <v/>
      </c>
      <c r="M196" t="str">
        <f>IFERROR(INDEX(xx_matrix[TgtObject],MATCH($B196,xx_matrix[command],0)),"")</f>
        <v/>
      </c>
      <c r="N196" t="str">
        <f>IFERROR(INDEX(xx_matrix[Instructions],MATCH($B196,xx_matrix[command],0)),"")</f>
        <v/>
      </c>
    </row>
    <row r="197" spans="1:14">
      <c r="A197" s="19"/>
      <c r="D197" s="36" t="str">
        <f>IF(ISBLANK(B197),"",IF(ISERROR(MATCH(B197,xx_matrix[command],0)),FALSE,IF(ISTEXT(INDEX(xx_matrix[videoLink],MATCH(B197,xx_matrix[command],0),1)),HYPERLINK(INDEX(xx_matrix[videoLink],MATCH(B197,xx_matrix[command],0),1),"_YES_"),"YES")))</f>
        <v/>
      </c>
      <c r="J197" t="str">
        <f>IFERROR(INDEX(xx_matrix[SrcModel],MATCH($B197,xx_matrix[command],0)),"")</f>
        <v/>
      </c>
      <c r="K197" t="str">
        <f>IFERROR(INDEX(xx_matrix[SrcObject],MATCH($B197,xx_matrix[command],0)),"")</f>
        <v/>
      </c>
      <c r="L197" t="str">
        <f>IFERROR(INDEX(xx_matrix[TgtModel],MATCH($B197,xx_matrix[command],0)),"")</f>
        <v/>
      </c>
      <c r="M197" t="str">
        <f>IFERROR(INDEX(xx_matrix[TgtObject],MATCH($B197,xx_matrix[command],0)),"")</f>
        <v/>
      </c>
      <c r="N197" t="str">
        <f>IFERROR(INDEX(xx_matrix[Instructions],MATCH($B197,xx_matrix[command],0)),"")</f>
        <v/>
      </c>
    </row>
    <row r="198" spans="1:14">
      <c r="A198" s="19"/>
      <c r="D198" s="36" t="str">
        <f>IF(ISBLANK(B198),"",IF(ISERROR(MATCH(B198,xx_matrix[command],0)),FALSE,IF(ISTEXT(INDEX(xx_matrix[videoLink],MATCH(B198,xx_matrix[command],0),1)),HYPERLINK(INDEX(xx_matrix[videoLink],MATCH(B198,xx_matrix[command],0),1),"_YES_"),"YES")))</f>
        <v/>
      </c>
      <c r="J198" t="str">
        <f>IFERROR(INDEX(xx_matrix[SrcModel],MATCH($B198,xx_matrix[command],0)),"")</f>
        <v/>
      </c>
      <c r="K198" t="str">
        <f>IFERROR(INDEX(xx_matrix[SrcObject],MATCH($B198,xx_matrix[command],0)),"")</f>
        <v/>
      </c>
      <c r="L198" t="str">
        <f>IFERROR(INDEX(xx_matrix[TgtModel],MATCH($B198,xx_matrix[command],0)),"")</f>
        <v/>
      </c>
      <c r="M198" t="str">
        <f>IFERROR(INDEX(xx_matrix[TgtObject],MATCH($B198,xx_matrix[command],0)),"")</f>
        <v/>
      </c>
      <c r="N198" t="str">
        <f>IFERROR(INDEX(xx_matrix[Instructions],MATCH($B198,xx_matrix[command],0)),"")</f>
        <v/>
      </c>
    </row>
    <row r="199" spans="1:14">
      <c r="A199" s="19"/>
      <c r="D199" s="36" t="str">
        <f>IF(ISBLANK(B199),"",IF(ISERROR(MATCH(B199,xx_matrix[command],0)),FALSE,IF(ISTEXT(INDEX(xx_matrix[videoLink],MATCH(B199,xx_matrix[command],0),1)),HYPERLINK(INDEX(xx_matrix[videoLink],MATCH(B199,xx_matrix[command],0),1),"_YES_"),"YES")))</f>
        <v/>
      </c>
      <c r="J199" t="str">
        <f>IFERROR(INDEX(xx_matrix[SrcModel],MATCH($B199,xx_matrix[command],0)),"")</f>
        <v/>
      </c>
      <c r="K199" t="str">
        <f>IFERROR(INDEX(xx_matrix[SrcObject],MATCH($B199,xx_matrix[command],0)),"")</f>
        <v/>
      </c>
      <c r="L199" t="str">
        <f>IFERROR(INDEX(xx_matrix[TgtModel],MATCH($B199,xx_matrix[command],0)),"")</f>
        <v/>
      </c>
      <c r="M199" t="str">
        <f>IFERROR(INDEX(xx_matrix[TgtObject],MATCH($B199,xx_matrix[command],0)),"")</f>
        <v/>
      </c>
      <c r="N199" t="str">
        <f>IFERROR(INDEX(xx_matrix[Instructions],MATCH($B199,xx_matrix[command],0)),"")</f>
        <v/>
      </c>
    </row>
    <row r="200" spans="1:14">
      <c r="A200" s="19"/>
      <c r="D200" s="36" t="str">
        <f>IF(ISBLANK(B200),"",IF(ISERROR(MATCH(B200,xx_matrix[command],0)),FALSE,IF(ISTEXT(INDEX(xx_matrix[videoLink],MATCH(B200,xx_matrix[command],0),1)),HYPERLINK(INDEX(xx_matrix[videoLink],MATCH(B200,xx_matrix[command],0),1),"_YES_"),"YES")))</f>
        <v/>
      </c>
      <c r="J200" t="str">
        <f>IFERROR(INDEX(xx_matrix[SrcModel],MATCH($B200,xx_matrix[command],0)),"")</f>
        <v/>
      </c>
      <c r="K200" t="str">
        <f>IFERROR(INDEX(xx_matrix[SrcObject],MATCH($B200,xx_matrix[command],0)),"")</f>
        <v/>
      </c>
      <c r="L200" t="str">
        <f>IFERROR(INDEX(xx_matrix[TgtModel],MATCH($B200,xx_matrix[command],0)),"")</f>
        <v/>
      </c>
      <c r="M200" t="str">
        <f>IFERROR(INDEX(xx_matrix[TgtObject],MATCH($B200,xx_matrix[command],0)),"")</f>
        <v/>
      </c>
      <c r="N200" t="str">
        <f>IFERROR(INDEX(xx_matrix[Instructions],MATCH($B200,xx_matrix[command],0)),"")</f>
        <v/>
      </c>
    </row>
    <row r="201" spans="1:14">
      <c r="A201" s="19"/>
      <c r="D201" s="36" t="str">
        <f>IF(ISBLANK(B201),"",IF(ISERROR(MATCH(B201,xx_matrix[command],0)),FALSE,IF(ISTEXT(INDEX(xx_matrix[videoLink],MATCH(B201,xx_matrix[command],0),1)),HYPERLINK(INDEX(xx_matrix[videoLink],MATCH(B201,xx_matrix[command],0),1),"_YES_"),"YES")))</f>
        <v/>
      </c>
      <c r="J201" t="str">
        <f>IFERROR(INDEX(xx_matrix[SrcModel],MATCH($B201,xx_matrix[command],0)),"")</f>
        <v/>
      </c>
      <c r="K201" t="str">
        <f>IFERROR(INDEX(xx_matrix[SrcObject],MATCH($B201,xx_matrix[command],0)),"")</f>
        <v/>
      </c>
      <c r="L201" t="str">
        <f>IFERROR(INDEX(xx_matrix[TgtModel],MATCH($B201,xx_matrix[command],0)),"")</f>
        <v/>
      </c>
      <c r="M201" t="str">
        <f>IFERROR(INDEX(xx_matrix[TgtObject],MATCH($B201,xx_matrix[command],0)),"")</f>
        <v/>
      </c>
      <c r="N201" t="str">
        <f>IFERROR(INDEX(xx_matrix[Instructions],MATCH($B201,xx_matrix[command],0)),"")</f>
        <v/>
      </c>
    </row>
    <row r="202" spans="1:14">
      <c r="A202" s="19"/>
      <c r="D202" s="36" t="str">
        <f>IF(ISBLANK(B202),"",IF(ISERROR(MATCH(B202,xx_matrix[command],0)),FALSE,IF(ISTEXT(INDEX(xx_matrix[videoLink],MATCH(B202,xx_matrix[command],0),1)),HYPERLINK(INDEX(xx_matrix[videoLink],MATCH(B202,xx_matrix[command],0),1),"_YES_"),"YES")))</f>
        <v/>
      </c>
      <c r="J202" t="str">
        <f>IFERROR(INDEX(xx_matrix[SrcModel],MATCH($B202,xx_matrix[command],0)),"")</f>
        <v/>
      </c>
      <c r="K202" t="str">
        <f>IFERROR(INDEX(xx_matrix[SrcObject],MATCH($B202,xx_matrix[command],0)),"")</f>
        <v/>
      </c>
      <c r="L202" t="str">
        <f>IFERROR(INDEX(xx_matrix[TgtModel],MATCH($B202,xx_matrix[command],0)),"")</f>
        <v/>
      </c>
      <c r="M202" t="str">
        <f>IFERROR(INDEX(xx_matrix[TgtObject],MATCH($B202,xx_matrix[command],0)),"")</f>
        <v/>
      </c>
      <c r="N202" t="str">
        <f>IFERROR(INDEX(xx_matrix[Instructions],MATCH($B202,xx_matrix[command],0)),"")</f>
        <v/>
      </c>
    </row>
    <row r="203" spans="1:14">
      <c r="A203" s="19"/>
      <c r="D203" s="36" t="str">
        <f>IF(ISBLANK(B203),"",IF(ISERROR(MATCH(B203,xx_matrix[command],0)),FALSE,IF(ISTEXT(INDEX(xx_matrix[videoLink],MATCH(B203,xx_matrix[command],0),1)),HYPERLINK(INDEX(xx_matrix[videoLink],MATCH(B203,xx_matrix[command],0),1),"_YES_"),"YES")))</f>
        <v/>
      </c>
      <c r="J203" t="str">
        <f>IFERROR(INDEX(xx_matrix[SrcModel],MATCH($B203,xx_matrix[command],0)),"")</f>
        <v/>
      </c>
      <c r="K203" t="str">
        <f>IFERROR(INDEX(xx_matrix[SrcObject],MATCH($B203,xx_matrix[command],0)),"")</f>
        <v/>
      </c>
      <c r="L203" t="str">
        <f>IFERROR(INDEX(xx_matrix[TgtModel],MATCH($B203,xx_matrix[command],0)),"")</f>
        <v/>
      </c>
      <c r="M203" t="str">
        <f>IFERROR(INDEX(xx_matrix[TgtObject],MATCH($B203,xx_matrix[command],0)),"")</f>
        <v/>
      </c>
      <c r="N203" t="str">
        <f>IFERROR(INDEX(xx_matrix[Instructions],MATCH($B203,xx_matrix[command],0)),"")</f>
        <v/>
      </c>
    </row>
    <row r="204" spans="1:14">
      <c r="A204" s="19"/>
      <c r="D204" s="36" t="str">
        <f>IF(ISBLANK(B204),"",IF(ISERROR(MATCH(B204,xx_matrix[command],0)),FALSE,IF(ISTEXT(INDEX(xx_matrix[videoLink],MATCH(B204,xx_matrix[command],0),1)),HYPERLINK(INDEX(xx_matrix[videoLink],MATCH(B204,xx_matrix[command],0),1),"_YES_"),"YES")))</f>
        <v/>
      </c>
      <c r="J204" t="str">
        <f>IFERROR(INDEX(xx_matrix[SrcModel],MATCH($B204,xx_matrix[command],0)),"")</f>
        <v/>
      </c>
      <c r="K204" t="str">
        <f>IFERROR(INDEX(xx_matrix[SrcObject],MATCH($B204,xx_matrix[command],0)),"")</f>
        <v/>
      </c>
      <c r="L204" t="str">
        <f>IFERROR(INDEX(xx_matrix[TgtModel],MATCH($B204,xx_matrix[command],0)),"")</f>
        <v/>
      </c>
      <c r="M204" t="str">
        <f>IFERROR(INDEX(xx_matrix[TgtObject],MATCH($B204,xx_matrix[command],0)),"")</f>
        <v/>
      </c>
      <c r="N204" t="str">
        <f>IFERROR(INDEX(xx_matrix[Instructions],MATCH($B204,xx_matrix[command],0)),"")</f>
        <v/>
      </c>
    </row>
    <row r="205" spans="1:14">
      <c r="A205" s="19"/>
      <c r="D205" s="36" t="str">
        <f>IF(ISBLANK(B205),"",IF(ISERROR(MATCH(B205,xx_matrix[command],0)),FALSE,IF(ISTEXT(INDEX(xx_matrix[videoLink],MATCH(B205,xx_matrix[command],0),1)),HYPERLINK(INDEX(xx_matrix[videoLink],MATCH(B205,xx_matrix[command],0),1),"_YES_"),"YES")))</f>
        <v/>
      </c>
      <c r="J205" t="str">
        <f>IFERROR(INDEX(xx_matrix[SrcModel],MATCH($B205,xx_matrix[command],0)),"")</f>
        <v/>
      </c>
      <c r="K205" t="str">
        <f>IFERROR(INDEX(xx_matrix[SrcObject],MATCH($B205,xx_matrix[command],0)),"")</f>
        <v/>
      </c>
      <c r="L205" t="str">
        <f>IFERROR(INDEX(xx_matrix[TgtModel],MATCH($B205,xx_matrix[command],0)),"")</f>
        <v/>
      </c>
      <c r="M205" t="str">
        <f>IFERROR(INDEX(xx_matrix[TgtObject],MATCH($B205,xx_matrix[command],0)),"")</f>
        <v/>
      </c>
      <c r="N205" t="str">
        <f>IFERROR(INDEX(xx_matrix[Instructions],MATCH($B205,xx_matrix[command],0)),"")</f>
        <v/>
      </c>
    </row>
    <row r="206" spans="1:14">
      <c r="A206" s="19"/>
      <c r="D206" s="36" t="str">
        <f>IF(ISBLANK(B206),"",IF(ISERROR(MATCH(B206,xx_matrix[command],0)),FALSE,IF(ISTEXT(INDEX(xx_matrix[videoLink],MATCH(B206,xx_matrix[command],0),1)),HYPERLINK(INDEX(xx_matrix[videoLink],MATCH(B206,xx_matrix[command],0),1),"_YES_"),"YES")))</f>
        <v/>
      </c>
      <c r="J206" t="str">
        <f>IFERROR(INDEX(xx_matrix[SrcModel],MATCH($B206,xx_matrix[command],0)),"")</f>
        <v/>
      </c>
      <c r="K206" t="str">
        <f>IFERROR(INDEX(xx_matrix[SrcObject],MATCH($B206,xx_matrix[command],0)),"")</f>
        <v/>
      </c>
      <c r="L206" t="str">
        <f>IFERROR(INDEX(xx_matrix[TgtModel],MATCH($B206,xx_matrix[command],0)),"")</f>
        <v/>
      </c>
      <c r="M206" t="str">
        <f>IFERROR(INDEX(xx_matrix[TgtObject],MATCH($B206,xx_matrix[command],0)),"")</f>
        <v/>
      </c>
      <c r="N206" t="str">
        <f>IFERROR(INDEX(xx_matrix[Instructions],MATCH($B206,xx_matrix[command],0)),"")</f>
        <v/>
      </c>
    </row>
    <row r="207" spans="1:14">
      <c r="A207" s="19"/>
      <c r="D207" s="36" t="str">
        <f>IF(ISBLANK(B207),"",IF(ISERROR(MATCH(B207,xx_matrix[command],0)),FALSE,IF(ISTEXT(INDEX(xx_matrix[videoLink],MATCH(B207,xx_matrix[command],0),1)),HYPERLINK(INDEX(xx_matrix[videoLink],MATCH(B207,xx_matrix[command],0),1),"_YES_"),"YES")))</f>
        <v/>
      </c>
      <c r="J207" t="str">
        <f>IFERROR(INDEX(xx_matrix[SrcModel],MATCH($B207,xx_matrix[command],0)),"")</f>
        <v/>
      </c>
      <c r="K207" t="str">
        <f>IFERROR(INDEX(xx_matrix[SrcObject],MATCH($B207,xx_matrix[command],0)),"")</f>
        <v/>
      </c>
      <c r="L207" t="str">
        <f>IFERROR(INDEX(xx_matrix[TgtModel],MATCH($B207,xx_matrix[command],0)),"")</f>
        <v/>
      </c>
      <c r="M207" t="str">
        <f>IFERROR(INDEX(xx_matrix[TgtObject],MATCH($B207,xx_matrix[command],0)),"")</f>
        <v/>
      </c>
      <c r="N207" t="str">
        <f>IFERROR(INDEX(xx_matrix[Instructions],MATCH($B207,xx_matrix[command],0)),"")</f>
        <v/>
      </c>
    </row>
    <row r="208" spans="1:14">
      <c r="A208" s="19"/>
      <c r="D208" s="36" t="str">
        <f>IF(ISBLANK(B208),"",IF(ISERROR(MATCH(B208,xx_matrix[command],0)),FALSE,IF(ISTEXT(INDEX(xx_matrix[videoLink],MATCH(B208,xx_matrix[command],0),1)),HYPERLINK(INDEX(xx_matrix[videoLink],MATCH(B208,xx_matrix[command],0),1),"_YES_"),"YES")))</f>
        <v/>
      </c>
      <c r="J208" t="str">
        <f>IFERROR(INDEX(xx_matrix[SrcModel],MATCH($B208,xx_matrix[command],0)),"")</f>
        <v/>
      </c>
      <c r="K208" t="str">
        <f>IFERROR(INDEX(xx_matrix[SrcObject],MATCH($B208,xx_matrix[command],0)),"")</f>
        <v/>
      </c>
      <c r="L208" t="str">
        <f>IFERROR(INDEX(xx_matrix[TgtModel],MATCH($B208,xx_matrix[command],0)),"")</f>
        <v/>
      </c>
      <c r="M208" t="str">
        <f>IFERROR(INDEX(xx_matrix[TgtObject],MATCH($B208,xx_matrix[command],0)),"")</f>
        <v/>
      </c>
      <c r="N208" t="str">
        <f>IFERROR(INDEX(xx_matrix[Instructions],MATCH($B208,xx_matrix[command],0)),"")</f>
        <v/>
      </c>
    </row>
    <row r="209" spans="1:14">
      <c r="A209" s="19"/>
      <c r="D209" s="36" t="str">
        <f>IF(ISBLANK(B209),"",IF(ISERROR(MATCH(B209,xx_matrix[command],0)),FALSE,IF(ISTEXT(INDEX(xx_matrix[videoLink],MATCH(B209,xx_matrix[command],0),1)),HYPERLINK(INDEX(xx_matrix[videoLink],MATCH(B209,xx_matrix[command],0),1),"_YES_"),"YES")))</f>
        <v/>
      </c>
      <c r="J209" t="str">
        <f>IFERROR(INDEX(xx_matrix[SrcModel],MATCH($B209,xx_matrix[command],0)),"")</f>
        <v/>
      </c>
      <c r="K209" t="str">
        <f>IFERROR(INDEX(xx_matrix[SrcObject],MATCH($B209,xx_matrix[command],0)),"")</f>
        <v/>
      </c>
      <c r="L209" t="str">
        <f>IFERROR(INDEX(xx_matrix[TgtModel],MATCH($B209,xx_matrix[command],0)),"")</f>
        <v/>
      </c>
      <c r="M209" t="str">
        <f>IFERROR(INDEX(xx_matrix[TgtObject],MATCH($B209,xx_matrix[command],0)),"")</f>
        <v/>
      </c>
      <c r="N209" t="str">
        <f>IFERROR(INDEX(xx_matrix[Instructions],MATCH($B209,xx_matrix[command],0)),"")</f>
        <v/>
      </c>
    </row>
    <row r="210" spans="1:14">
      <c r="A210" s="19"/>
      <c r="D210" s="36" t="str">
        <f>IF(ISBLANK(B210),"",IF(ISERROR(MATCH(B210,xx_matrix[command],0)),FALSE,IF(ISTEXT(INDEX(xx_matrix[videoLink],MATCH(B210,xx_matrix[command],0),1)),HYPERLINK(INDEX(xx_matrix[videoLink],MATCH(B210,xx_matrix[command],0),1),"_YES_"),"YES")))</f>
        <v/>
      </c>
      <c r="J210" t="str">
        <f>IFERROR(INDEX(xx_matrix[SrcModel],MATCH($B210,xx_matrix[command],0)),"")</f>
        <v/>
      </c>
      <c r="K210" t="str">
        <f>IFERROR(INDEX(xx_matrix[SrcObject],MATCH($B210,xx_matrix[command],0)),"")</f>
        <v/>
      </c>
      <c r="L210" t="str">
        <f>IFERROR(INDEX(xx_matrix[TgtModel],MATCH($B210,xx_matrix[command],0)),"")</f>
        <v/>
      </c>
      <c r="M210" t="str">
        <f>IFERROR(INDEX(xx_matrix[TgtObject],MATCH($B210,xx_matrix[command],0)),"")</f>
        <v/>
      </c>
      <c r="N210" t="str">
        <f>IFERROR(INDEX(xx_matrix[Instructions],MATCH($B210,xx_matrix[command],0)),"")</f>
        <v/>
      </c>
    </row>
    <row r="211" spans="1:14">
      <c r="A211" s="19"/>
      <c r="D211" s="36" t="str">
        <f>IF(ISBLANK(B211),"",IF(ISERROR(MATCH(B211,xx_matrix[command],0)),FALSE,IF(ISTEXT(INDEX(xx_matrix[videoLink],MATCH(B211,xx_matrix[command],0),1)),HYPERLINK(INDEX(xx_matrix[videoLink],MATCH(B211,xx_matrix[command],0),1),"_YES_"),"YES")))</f>
        <v/>
      </c>
      <c r="J211" t="str">
        <f>IFERROR(INDEX(xx_matrix[SrcModel],MATCH($B211,xx_matrix[command],0)),"")</f>
        <v/>
      </c>
      <c r="K211" t="str">
        <f>IFERROR(INDEX(xx_matrix[SrcObject],MATCH($B211,xx_matrix[command],0)),"")</f>
        <v/>
      </c>
      <c r="L211" t="str">
        <f>IFERROR(INDEX(xx_matrix[TgtModel],MATCH($B211,xx_matrix[command],0)),"")</f>
        <v/>
      </c>
      <c r="M211" t="str">
        <f>IFERROR(INDEX(xx_matrix[TgtObject],MATCH($B211,xx_matrix[command],0)),"")</f>
        <v/>
      </c>
      <c r="N211" t="str">
        <f>IFERROR(INDEX(xx_matrix[Instructions],MATCH($B211,xx_matrix[command],0)),"")</f>
        <v/>
      </c>
    </row>
    <row r="212" spans="1:14">
      <c r="A212" s="19"/>
      <c r="D212" s="36" t="str">
        <f>IF(ISBLANK(B212),"",IF(ISERROR(MATCH(B212,xx_matrix[command],0)),FALSE,IF(ISTEXT(INDEX(xx_matrix[videoLink],MATCH(B212,xx_matrix[command],0),1)),HYPERLINK(INDEX(xx_matrix[videoLink],MATCH(B212,xx_matrix[command],0),1),"_YES_"),"YES")))</f>
        <v/>
      </c>
      <c r="J212" t="str">
        <f>IFERROR(INDEX(xx_matrix[SrcModel],MATCH($B212,xx_matrix[command],0)),"")</f>
        <v/>
      </c>
      <c r="K212" t="str">
        <f>IFERROR(INDEX(xx_matrix[SrcObject],MATCH($B212,xx_matrix[command],0)),"")</f>
        <v/>
      </c>
      <c r="L212" t="str">
        <f>IFERROR(INDEX(xx_matrix[TgtModel],MATCH($B212,xx_matrix[command],0)),"")</f>
        <v/>
      </c>
      <c r="M212" t="str">
        <f>IFERROR(INDEX(xx_matrix[TgtObject],MATCH($B212,xx_matrix[command],0)),"")</f>
        <v/>
      </c>
      <c r="N212" t="str">
        <f>IFERROR(INDEX(xx_matrix[Instructions],MATCH($B212,xx_matrix[command],0)),"")</f>
        <v/>
      </c>
    </row>
    <row r="213" spans="1:14">
      <c r="A213" s="19"/>
      <c r="D213" s="36" t="str">
        <f>IF(ISBLANK(B213),"",IF(ISERROR(MATCH(B213,xx_matrix[command],0)),FALSE,IF(ISTEXT(INDEX(xx_matrix[videoLink],MATCH(B213,xx_matrix[command],0),1)),HYPERLINK(INDEX(xx_matrix[videoLink],MATCH(B213,xx_matrix[command],0),1),"_YES_"),"YES")))</f>
        <v/>
      </c>
      <c r="J213" t="str">
        <f>IFERROR(INDEX(xx_matrix[SrcModel],MATCH($B213,xx_matrix[command],0)),"")</f>
        <v/>
      </c>
      <c r="K213" t="str">
        <f>IFERROR(INDEX(xx_matrix[SrcObject],MATCH($B213,xx_matrix[command],0)),"")</f>
        <v/>
      </c>
      <c r="L213" t="str">
        <f>IFERROR(INDEX(xx_matrix[TgtModel],MATCH($B213,xx_matrix[command],0)),"")</f>
        <v/>
      </c>
      <c r="M213" t="str">
        <f>IFERROR(INDEX(xx_matrix[TgtObject],MATCH($B213,xx_matrix[command],0)),"")</f>
        <v/>
      </c>
      <c r="N213" t="str">
        <f>IFERROR(INDEX(xx_matrix[Instructions],MATCH($B213,xx_matrix[command],0)),"")</f>
        <v/>
      </c>
    </row>
    <row r="214" spans="1:14">
      <c r="A214" s="19"/>
      <c r="D214" s="36" t="str">
        <f>IF(ISBLANK(B214),"",IF(ISERROR(MATCH(B214,xx_matrix[command],0)),FALSE,IF(ISTEXT(INDEX(xx_matrix[videoLink],MATCH(B214,xx_matrix[command],0),1)),HYPERLINK(INDEX(xx_matrix[videoLink],MATCH(B214,xx_matrix[command],0),1),"_YES_"),"YES")))</f>
        <v/>
      </c>
      <c r="J214" t="str">
        <f>IFERROR(INDEX(xx_matrix[SrcModel],MATCH($B214,xx_matrix[command],0)),"")</f>
        <v/>
      </c>
      <c r="K214" t="str">
        <f>IFERROR(INDEX(xx_matrix[SrcObject],MATCH($B214,xx_matrix[command],0)),"")</f>
        <v/>
      </c>
      <c r="L214" t="str">
        <f>IFERROR(INDEX(xx_matrix[TgtModel],MATCH($B214,xx_matrix[command],0)),"")</f>
        <v/>
      </c>
      <c r="M214" t="str">
        <f>IFERROR(INDEX(xx_matrix[TgtObject],MATCH($B214,xx_matrix[command],0)),"")</f>
        <v/>
      </c>
      <c r="N214" t="str">
        <f>IFERROR(INDEX(xx_matrix[Instructions],MATCH($B214,xx_matrix[command],0)),"")</f>
        <v/>
      </c>
    </row>
    <row r="215" spans="1:14">
      <c r="A215" s="19"/>
      <c r="D215" s="36" t="str">
        <f>IF(ISBLANK(B215),"",IF(ISERROR(MATCH(B215,xx_matrix[command],0)),FALSE,IF(ISTEXT(INDEX(xx_matrix[videoLink],MATCH(B215,xx_matrix[command],0),1)),HYPERLINK(INDEX(xx_matrix[videoLink],MATCH(B215,xx_matrix[command],0),1),"_YES_"),"YES")))</f>
        <v/>
      </c>
      <c r="J215" t="str">
        <f>IFERROR(INDEX(xx_matrix[SrcModel],MATCH($B215,xx_matrix[command],0)),"")</f>
        <v/>
      </c>
      <c r="K215" t="str">
        <f>IFERROR(INDEX(xx_matrix[SrcObject],MATCH($B215,xx_matrix[command],0)),"")</f>
        <v/>
      </c>
      <c r="L215" t="str">
        <f>IFERROR(INDEX(xx_matrix[TgtModel],MATCH($B215,xx_matrix[command],0)),"")</f>
        <v/>
      </c>
      <c r="M215" t="str">
        <f>IFERROR(INDEX(xx_matrix[TgtObject],MATCH($B215,xx_matrix[command],0)),"")</f>
        <v/>
      </c>
      <c r="N215" t="str">
        <f>IFERROR(INDEX(xx_matrix[Instructions],MATCH($B215,xx_matrix[command],0)),"")</f>
        <v/>
      </c>
    </row>
    <row r="216" spans="1:14">
      <c r="A216" s="19"/>
      <c r="D216" s="36" t="str">
        <f>IF(ISBLANK(B216),"",IF(ISERROR(MATCH(B216,xx_matrix[command],0)),FALSE,IF(ISTEXT(INDEX(xx_matrix[videoLink],MATCH(B216,xx_matrix[command],0),1)),HYPERLINK(INDEX(xx_matrix[videoLink],MATCH(B216,xx_matrix[command],0),1),"_YES_"),"YES")))</f>
        <v/>
      </c>
      <c r="J216" t="str">
        <f>IFERROR(INDEX(xx_matrix[SrcModel],MATCH($B216,xx_matrix[command],0)),"")</f>
        <v/>
      </c>
      <c r="K216" t="str">
        <f>IFERROR(INDEX(xx_matrix[SrcObject],MATCH($B216,xx_matrix[command],0)),"")</f>
        <v/>
      </c>
      <c r="L216" t="str">
        <f>IFERROR(INDEX(xx_matrix[TgtModel],MATCH($B216,xx_matrix[command],0)),"")</f>
        <v/>
      </c>
      <c r="M216" t="str">
        <f>IFERROR(INDEX(xx_matrix[TgtObject],MATCH($B216,xx_matrix[command],0)),"")</f>
        <v/>
      </c>
      <c r="N216" t="str">
        <f>IFERROR(INDEX(xx_matrix[Instructions],MATCH($B216,xx_matrix[command],0)),"")</f>
        <v/>
      </c>
    </row>
    <row r="217" spans="1:14">
      <c r="A217" s="19"/>
      <c r="D217" s="36" t="str">
        <f>IF(ISBLANK(B217),"",IF(ISERROR(MATCH(B217,xx_matrix[command],0)),FALSE,IF(ISTEXT(INDEX(xx_matrix[videoLink],MATCH(B217,xx_matrix[command],0),1)),HYPERLINK(INDEX(xx_matrix[videoLink],MATCH(B217,xx_matrix[command],0),1),"_YES_"),"YES")))</f>
        <v/>
      </c>
      <c r="J217" t="str">
        <f>IFERROR(INDEX(xx_matrix[SrcModel],MATCH($B217,xx_matrix[command],0)),"")</f>
        <v/>
      </c>
      <c r="K217" t="str">
        <f>IFERROR(INDEX(xx_matrix[SrcObject],MATCH($B217,xx_matrix[command],0)),"")</f>
        <v/>
      </c>
      <c r="L217" t="str">
        <f>IFERROR(INDEX(xx_matrix[TgtModel],MATCH($B217,xx_matrix[command],0)),"")</f>
        <v/>
      </c>
      <c r="M217" t="str">
        <f>IFERROR(INDEX(xx_matrix[TgtObject],MATCH($B217,xx_matrix[command],0)),"")</f>
        <v/>
      </c>
      <c r="N217" t="str">
        <f>IFERROR(INDEX(xx_matrix[Instructions],MATCH($B217,xx_matrix[command],0)),"")</f>
        <v/>
      </c>
    </row>
    <row r="218" spans="1:14">
      <c r="A218" s="19"/>
      <c r="D218" s="36" t="str">
        <f>IF(ISBLANK(B218),"",IF(ISERROR(MATCH(B218,xx_matrix[command],0)),FALSE,IF(ISTEXT(INDEX(xx_matrix[videoLink],MATCH(B218,xx_matrix[command],0),1)),HYPERLINK(INDEX(xx_matrix[videoLink],MATCH(B218,xx_matrix[command],0),1),"_YES_"),"YES")))</f>
        <v/>
      </c>
      <c r="J218" t="str">
        <f>IFERROR(INDEX(xx_matrix[SrcModel],MATCH($B218,xx_matrix[command],0)),"")</f>
        <v/>
      </c>
      <c r="K218" t="str">
        <f>IFERROR(INDEX(xx_matrix[SrcObject],MATCH($B218,xx_matrix[command],0)),"")</f>
        <v/>
      </c>
      <c r="L218" t="str">
        <f>IFERROR(INDEX(xx_matrix[TgtModel],MATCH($B218,xx_matrix[command],0)),"")</f>
        <v/>
      </c>
      <c r="M218" t="str">
        <f>IFERROR(INDEX(xx_matrix[TgtObject],MATCH($B218,xx_matrix[command],0)),"")</f>
        <v/>
      </c>
      <c r="N218" t="str">
        <f>IFERROR(INDEX(xx_matrix[Instructions],MATCH($B218,xx_matrix[command],0)),"")</f>
        <v/>
      </c>
    </row>
    <row r="219" spans="1:14">
      <c r="A219" s="19"/>
      <c r="D219" s="36" t="str">
        <f>IF(ISBLANK(B219),"",IF(ISERROR(MATCH(B219,xx_matrix[command],0)),FALSE,IF(ISTEXT(INDEX(xx_matrix[videoLink],MATCH(B219,xx_matrix[command],0),1)),HYPERLINK(INDEX(xx_matrix[videoLink],MATCH(B219,xx_matrix[command],0),1),"_YES_"),"YES")))</f>
        <v/>
      </c>
      <c r="J219" t="str">
        <f>IFERROR(INDEX(xx_matrix[SrcModel],MATCH($B219,xx_matrix[command],0)),"")</f>
        <v/>
      </c>
      <c r="K219" t="str">
        <f>IFERROR(INDEX(xx_matrix[SrcObject],MATCH($B219,xx_matrix[command],0)),"")</f>
        <v/>
      </c>
      <c r="L219" t="str">
        <f>IFERROR(INDEX(xx_matrix[TgtModel],MATCH($B219,xx_matrix[command],0)),"")</f>
        <v/>
      </c>
      <c r="M219" t="str">
        <f>IFERROR(INDEX(xx_matrix[TgtObject],MATCH($B219,xx_matrix[command],0)),"")</f>
        <v/>
      </c>
      <c r="N219" t="str">
        <f>IFERROR(INDEX(xx_matrix[Instructions],MATCH($B219,xx_matrix[command],0)),"")</f>
        <v/>
      </c>
    </row>
    <row r="220" spans="1:14">
      <c r="A220" s="19"/>
      <c r="D220" s="36" t="str">
        <f>IF(ISBLANK(B220),"",IF(ISERROR(MATCH(B220,xx_matrix[command],0)),FALSE,IF(ISTEXT(INDEX(xx_matrix[videoLink],MATCH(B220,xx_matrix[command],0),1)),HYPERLINK(INDEX(xx_matrix[videoLink],MATCH(B220,xx_matrix[command],0),1),"_YES_"),"YES")))</f>
        <v/>
      </c>
      <c r="J220" t="str">
        <f>IFERROR(INDEX(xx_matrix[SrcModel],MATCH($B220,xx_matrix[command],0)),"")</f>
        <v/>
      </c>
      <c r="K220" t="str">
        <f>IFERROR(INDEX(xx_matrix[SrcObject],MATCH($B220,xx_matrix[command],0)),"")</f>
        <v/>
      </c>
      <c r="L220" t="str">
        <f>IFERROR(INDEX(xx_matrix[TgtModel],MATCH($B220,xx_matrix[command],0)),"")</f>
        <v/>
      </c>
      <c r="M220" t="str">
        <f>IFERROR(INDEX(xx_matrix[TgtObject],MATCH($B220,xx_matrix[command],0)),"")</f>
        <v/>
      </c>
      <c r="N220" t="str">
        <f>IFERROR(INDEX(xx_matrix[Instructions],MATCH($B220,xx_matrix[command],0)),"")</f>
        <v/>
      </c>
    </row>
    <row r="221" spans="1:14">
      <c r="A221" s="19"/>
      <c r="D221" s="36" t="str">
        <f>IF(ISBLANK(B221),"",IF(ISERROR(MATCH(B221,xx_matrix[command],0)),FALSE,IF(ISTEXT(INDEX(xx_matrix[videoLink],MATCH(B221,xx_matrix[command],0),1)),HYPERLINK(INDEX(xx_matrix[videoLink],MATCH(B221,xx_matrix[command],0),1),"_YES_"),"YES")))</f>
        <v/>
      </c>
      <c r="J221" t="str">
        <f>IFERROR(INDEX(xx_matrix[SrcModel],MATCH($B221,xx_matrix[command],0)),"")</f>
        <v/>
      </c>
      <c r="K221" t="str">
        <f>IFERROR(INDEX(xx_matrix[SrcObject],MATCH($B221,xx_matrix[command],0)),"")</f>
        <v/>
      </c>
      <c r="L221" t="str">
        <f>IFERROR(INDEX(xx_matrix[TgtModel],MATCH($B221,xx_matrix[command],0)),"")</f>
        <v/>
      </c>
      <c r="M221" t="str">
        <f>IFERROR(INDEX(xx_matrix[TgtObject],MATCH($B221,xx_matrix[command],0)),"")</f>
        <v/>
      </c>
      <c r="N221" t="str">
        <f>IFERROR(INDEX(xx_matrix[Instructions],MATCH($B221,xx_matrix[command],0)),"")</f>
        <v/>
      </c>
    </row>
    <row r="222" spans="1:14">
      <c r="A222" s="19"/>
      <c r="D222" s="36" t="str">
        <f>IF(ISBLANK(B222),"",IF(ISERROR(MATCH(B222,xx_matrix[command],0)),FALSE,IF(ISTEXT(INDEX(xx_matrix[videoLink],MATCH(B222,xx_matrix[command],0),1)),HYPERLINK(INDEX(xx_matrix[videoLink],MATCH(B222,xx_matrix[command],0),1),"_YES_"),"YES")))</f>
        <v/>
      </c>
      <c r="J222" t="str">
        <f>IFERROR(INDEX(xx_matrix[SrcModel],MATCH($B222,xx_matrix[command],0)),"")</f>
        <v/>
      </c>
      <c r="K222" t="str">
        <f>IFERROR(INDEX(xx_matrix[SrcObject],MATCH($B222,xx_matrix[command],0)),"")</f>
        <v/>
      </c>
      <c r="L222" t="str">
        <f>IFERROR(INDEX(xx_matrix[TgtModel],MATCH($B222,xx_matrix[command],0)),"")</f>
        <v/>
      </c>
      <c r="M222" t="str">
        <f>IFERROR(INDEX(xx_matrix[TgtObject],MATCH($B222,xx_matrix[command],0)),"")</f>
        <v/>
      </c>
      <c r="N222" t="str">
        <f>IFERROR(INDEX(xx_matrix[Instructions],MATCH($B222,xx_matrix[command],0)),"")</f>
        <v/>
      </c>
    </row>
    <row r="223" spans="1:14">
      <c r="A223" s="19"/>
      <c r="D223" s="36" t="str">
        <f>IF(ISBLANK(B223),"",IF(ISERROR(MATCH(B223,xx_matrix[command],0)),FALSE,IF(ISTEXT(INDEX(xx_matrix[videoLink],MATCH(B223,xx_matrix[command],0),1)),HYPERLINK(INDEX(xx_matrix[videoLink],MATCH(B223,xx_matrix[command],0),1),"_YES_"),"YES")))</f>
        <v/>
      </c>
      <c r="J223" t="str">
        <f>IFERROR(INDEX(xx_matrix[SrcModel],MATCH($B223,xx_matrix[command],0)),"")</f>
        <v/>
      </c>
      <c r="K223" t="str">
        <f>IFERROR(INDEX(xx_matrix[SrcObject],MATCH($B223,xx_matrix[command],0)),"")</f>
        <v/>
      </c>
      <c r="L223" t="str">
        <f>IFERROR(INDEX(xx_matrix[TgtModel],MATCH($B223,xx_matrix[command],0)),"")</f>
        <v/>
      </c>
      <c r="M223" t="str">
        <f>IFERROR(INDEX(xx_matrix[TgtObject],MATCH($B223,xx_matrix[command],0)),"")</f>
        <v/>
      </c>
      <c r="N223" t="str">
        <f>IFERROR(INDEX(xx_matrix[Instructions],MATCH($B223,xx_matrix[command],0)),"")</f>
        <v/>
      </c>
    </row>
    <row r="224" spans="1:14">
      <c r="A224" s="19"/>
      <c r="D224" s="36" t="str">
        <f>IF(ISBLANK(B224),"",IF(ISERROR(MATCH(B224,xx_matrix[command],0)),FALSE,IF(ISTEXT(INDEX(xx_matrix[videoLink],MATCH(B224,xx_matrix[command],0),1)),HYPERLINK(INDEX(xx_matrix[videoLink],MATCH(B224,xx_matrix[command],0),1),"_YES_"),"YES")))</f>
        <v/>
      </c>
      <c r="J224" t="str">
        <f>IFERROR(INDEX(xx_matrix[SrcModel],MATCH($B224,xx_matrix[command],0)),"")</f>
        <v/>
      </c>
      <c r="K224" t="str">
        <f>IFERROR(INDEX(xx_matrix[SrcObject],MATCH($B224,xx_matrix[command],0)),"")</f>
        <v/>
      </c>
      <c r="L224" t="str">
        <f>IFERROR(INDEX(xx_matrix[TgtModel],MATCH($B224,xx_matrix[command],0)),"")</f>
        <v/>
      </c>
      <c r="M224" t="str">
        <f>IFERROR(INDEX(xx_matrix[TgtObject],MATCH($B224,xx_matrix[command],0)),"")</f>
        <v/>
      </c>
      <c r="N224" t="str">
        <f>IFERROR(INDEX(xx_matrix[Instructions],MATCH($B224,xx_matrix[command],0)),"")</f>
        <v/>
      </c>
    </row>
    <row r="225" spans="1:14">
      <c r="A225" s="19"/>
      <c r="D225" s="36" t="str">
        <f>IF(ISBLANK(B225),"",IF(ISERROR(MATCH(B225,xx_matrix[command],0)),FALSE,IF(ISTEXT(INDEX(xx_matrix[videoLink],MATCH(B225,xx_matrix[command],0),1)),HYPERLINK(INDEX(xx_matrix[videoLink],MATCH(B225,xx_matrix[command],0),1),"_YES_"),"YES")))</f>
        <v/>
      </c>
      <c r="J225" t="str">
        <f>IFERROR(INDEX(xx_matrix[SrcModel],MATCH($B225,xx_matrix[command],0)),"")</f>
        <v/>
      </c>
      <c r="K225" t="str">
        <f>IFERROR(INDEX(xx_matrix[SrcObject],MATCH($B225,xx_matrix[command],0)),"")</f>
        <v/>
      </c>
      <c r="L225" t="str">
        <f>IFERROR(INDEX(xx_matrix[TgtModel],MATCH($B225,xx_matrix[command],0)),"")</f>
        <v/>
      </c>
      <c r="M225" t="str">
        <f>IFERROR(INDEX(xx_matrix[TgtObject],MATCH($B225,xx_matrix[command],0)),"")</f>
        <v/>
      </c>
      <c r="N225" t="str">
        <f>IFERROR(INDEX(xx_matrix[Instructions],MATCH($B225,xx_matrix[command],0)),"")</f>
        <v/>
      </c>
    </row>
    <row r="226" spans="1:14">
      <c r="A226" s="19"/>
      <c r="D226" s="36" t="str">
        <f>IF(ISBLANK(B226),"",IF(ISERROR(MATCH(B226,xx_matrix[command],0)),FALSE,IF(ISTEXT(INDEX(xx_matrix[videoLink],MATCH(B226,xx_matrix[command],0),1)),HYPERLINK(INDEX(xx_matrix[videoLink],MATCH(B226,xx_matrix[command],0),1),"_YES_"),"YES")))</f>
        <v/>
      </c>
      <c r="J226" t="str">
        <f>IFERROR(INDEX(xx_matrix[SrcModel],MATCH($B226,xx_matrix[command],0)),"")</f>
        <v/>
      </c>
      <c r="K226" t="str">
        <f>IFERROR(INDEX(xx_matrix[SrcObject],MATCH($B226,xx_matrix[command],0)),"")</f>
        <v/>
      </c>
      <c r="L226" t="str">
        <f>IFERROR(INDEX(xx_matrix[TgtModel],MATCH($B226,xx_matrix[command],0)),"")</f>
        <v/>
      </c>
      <c r="M226" t="str">
        <f>IFERROR(INDEX(xx_matrix[TgtObject],MATCH($B226,xx_matrix[command],0)),"")</f>
        <v/>
      </c>
      <c r="N226" t="str">
        <f>IFERROR(INDEX(xx_matrix[Instructions],MATCH($B226,xx_matrix[command],0)),"")</f>
        <v/>
      </c>
    </row>
    <row r="227" spans="1:14">
      <c r="A227" s="19"/>
      <c r="D227" s="36" t="str">
        <f>IF(ISBLANK(B227),"",IF(ISERROR(MATCH(B227,xx_matrix[command],0)),FALSE,IF(ISTEXT(INDEX(xx_matrix[videoLink],MATCH(B227,xx_matrix[command],0),1)),HYPERLINK(INDEX(xx_matrix[videoLink],MATCH(B227,xx_matrix[command],0),1),"_YES_"),"YES")))</f>
        <v/>
      </c>
      <c r="J227" t="str">
        <f>IFERROR(INDEX(xx_matrix[SrcModel],MATCH($B227,xx_matrix[command],0)),"")</f>
        <v/>
      </c>
      <c r="K227" t="str">
        <f>IFERROR(INDEX(xx_matrix[SrcObject],MATCH($B227,xx_matrix[command],0)),"")</f>
        <v/>
      </c>
      <c r="L227" t="str">
        <f>IFERROR(INDEX(xx_matrix[TgtModel],MATCH($B227,xx_matrix[command],0)),"")</f>
        <v/>
      </c>
      <c r="M227" t="str">
        <f>IFERROR(INDEX(xx_matrix[TgtObject],MATCH($B227,xx_matrix[command],0)),"")</f>
        <v/>
      </c>
      <c r="N227" t="str">
        <f>IFERROR(INDEX(xx_matrix[Instructions],MATCH($B227,xx_matrix[command],0)),"")</f>
        <v/>
      </c>
    </row>
    <row r="228" spans="1:14">
      <c r="A228" s="19"/>
      <c r="D228" s="36" t="str">
        <f>IF(ISBLANK(B228),"",IF(ISERROR(MATCH(B228,xx_matrix[command],0)),FALSE,IF(ISTEXT(INDEX(xx_matrix[videoLink],MATCH(B228,xx_matrix[command],0),1)),HYPERLINK(INDEX(xx_matrix[videoLink],MATCH(B228,xx_matrix[command],0),1),"_YES_"),"YES")))</f>
        <v/>
      </c>
      <c r="J228" t="str">
        <f>IFERROR(INDEX(xx_matrix[SrcModel],MATCH($B228,xx_matrix[command],0)),"")</f>
        <v/>
      </c>
      <c r="K228" t="str">
        <f>IFERROR(INDEX(xx_matrix[SrcObject],MATCH($B228,xx_matrix[command],0)),"")</f>
        <v/>
      </c>
      <c r="L228" t="str">
        <f>IFERROR(INDEX(xx_matrix[TgtModel],MATCH($B228,xx_matrix[command],0)),"")</f>
        <v/>
      </c>
      <c r="M228" t="str">
        <f>IFERROR(INDEX(xx_matrix[TgtObject],MATCH($B228,xx_matrix[command],0)),"")</f>
        <v/>
      </c>
      <c r="N228" t="str">
        <f>IFERROR(INDEX(xx_matrix[Instructions],MATCH($B228,xx_matrix[command],0)),"")</f>
        <v/>
      </c>
    </row>
    <row r="229" spans="1:14">
      <c r="A229" s="19"/>
      <c r="D229" s="36" t="str">
        <f>IF(ISBLANK(B229),"",IF(ISERROR(MATCH(B229,xx_matrix[command],0)),FALSE,IF(ISTEXT(INDEX(xx_matrix[videoLink],MATCH(B229,xx_matrix[command],0),1)),HYPERLINK(INDEX(xx_matrix[videoLink],MATCH(B229,xx_matrix[command],0),1),"_YES_"),"YES")))</f>
        <v/>
      </c>
      <c r="J229" t="str">
        <f>IFERROR(INDEX(xx_matrix[SrcModel],MATCH($B229,xx_matrix[command],0)),"")</f>
        <v/>
      </c>
      <c r="K229" t="str">
        <f>IFERROR(INDEX(xx_matrix[SrcObject],MATCH($B229,xx_matrix[command],0)),"")</f>
        <v/>
      </c>
      <c r="L229" t="str">
        <f>IFERROR(INDEX(xx_matrix[TgtModel],MATCH($B229,xx_matrix[command],0)),"")</f>
        <v/>
      </c>
      <c r="M229" t="str">
        <f>IFERROR(INDEX(xx_matrix[TgtObject],MATCH($B229,xx_matrix[command],0)),"")</f>
        <v/>
      </c>
      <c r="N229" t="str">
        <f>IFERROR(INDEX(xx_matrix[Instructions],MATCH($B229,xx_matrix[command],0)),"")</f>
        <v/>
      </c>
    </row>
    <row r="230" spans="1:14">
      <c r="A230" s="19"/>
      <c r="D230" s="36" t="str">
        <f>IF(ISBLANK(B230),"",IF(ISERROR(MATCH(B230,xx_matrix[command],0)),FALSE,IF(ISTEXT(INDEX(xx_matrix[videoLink],MATCH(B230,xx_matrix[command],0),1)),HYPERLINK(INDEX(xx_matrix[videoLink],MATCH(B230,xx_matrix[command],0),1),"_YES_"),"YES")))</f>
        <v/>
      </c>
      <c r="J230" t="str">
        <f>IFERROR(INDEX(xx_matrix[SrcModel],MATCH($B230,xx_matrix[command],0)),"")</f>
        <v/>
      </c>
      <c r="K230" t="str">
        <f>IFERROR(INDEX(xx_matrix[SrcObject],MATCH($B230,xx_matrix[command],0)),"")</f>
        <v/>
      </c>
      <c r="L230" t="str">
        <f>IFERROR(INDEX(xx_matrix[TgtModel],MATCH($B230,xx_matrix[command],0)),"")</f>
        <v/>
      </c>
      <c r="M230" t="str">
        <f>IFERROR(INDEX(xx_matrix[TgtObject],MATCH($B230,xx_matrix[command],0)),"")</f>
        <v/>
      </c>
      <c r="N230" t="str">
        <f>IFERROR(INDEX(xx_matrix[Instructions],MATCH($B230,xx_matrix[command],0)),"")</f>
        <v/>
      </c>
    </row>
    <row r="231" spans="1:14">
      <c r="A231" s="19"/>
      <c r="D231" s="36" t="str">
        <f>IF(ISBLANK(B231),"",IF(ISERROR(MATCH(B231,xx_matrix[command],0)),FALSE,IF(ISTEXT(INDEX(xx_matrix[videoLink],MATCH(B231,xx_matrix[command],0),1)),HYPERLINK(INDEX(xx_matrix[videoLink],MATCH(B231,xx_matrix[command],0),1),"_YES_"),"YES")))</f>
        <v/>
      </c>
      <c r="J231" t="str">
        <f>IFERROR(INDEX(xx_matrix[SrcModel],MATCH($B231,xx_matrix[command],0)),"")</f>
        <v/>
      </c>
      <c r="K231" t="str">
        <f>IFERROR(INDEX(xx_matrix[SrcObject],MATCH($B231,xx_matrix[command],0)),"")</f>
        <v/>
      </c>
      <c r="L231" t="str">
        <f>IFERROR(INDEX(xx_matrix[TgtModel],MATCH($B231,xx_matrix[command],0)),"")</f>
        <v/>
      </c>
      <c r="M231" t="str">
        <f>IFERROR(INDEX(xx_matrix[TgtObject],MATCH($B231,xx_matrix[command],0)),"")</f>
        <v/>
      </c>
      <c r="N231" t="str">
        <f>IFERROR(INDEX(xx_matrix[Instructions],MATCH($B231,xx_matrix[command],0)),"")</f>
        <v/>
      </c>
    </row>
    <row r="232" spans="1:14">
      <c r="A232" s="19"/>
      <c r="D232" s="36" t="str">
        <f>IF(ISBLANK(B232),"",IF(ISERROR(MATCH(B232,xx_matrix[command],0)),FALSE,IF(ISTEXT(INDEX(xx_matrix[videoLink],MATCH(B232,xx_matrix[command],0),1)),HYPERLINK(INDEX(xx_matrix[videoLink],MATCH(B232,xx_matrix[command],0),1),"_YES_"),"YES")))</f>
        <v/>
      </c>
      <c r="J232" t="str">
        <f>IFERROR(INDEX(xx_matrix[SrcModel],MATCH($B232,xx_matrix[command],0)),"")</f>
        <v/>
      </c>
      <c r="K232" t="str">
        <f>IFERROR(INDEX(xx_matrix[SrcObject],MATCH($B232,xx_matrix[command],0)),"")</f>
        <v/>
      </c>
      <c r="L232" t="str">
        <f>IFERROR(INDEX(xx_matrix[TgtModel],MATCH($B232,xx_matrix[command],0)),"")</f>
        <v/>
      </c>
      <c r="M232" t="str">
        <f>IFERROR(INDEX(xx_matrix[TgtObject],MATCH($B232,xx_matrix[command],0)),"")</f>
        <v/>
      </c>
      <c r="N232" t="str">
        <f>IFERROR(INDEX(xx_matrix[Instructions],MATCH($B232,xx_matrix[command],0)),"")</f>
        <v/>
      </c>
    </row>
    <row r="233" spans="1:14">
      <c r="A233" s="19"/>
      <c r="D233" s="36" t="str">
        <f>IF(ISBLANK(B233),"",IF(ISERROR(MATCH(B233,xx_matrix[command],0)),FALSE,IF(ISTEXT(INDEX(xx_matrix[videoLink],MATCH(B233,xx_matrix[command],0),1)),HYPERLINK(INDEX(xx_matrix[videoLink],MATCH(B233,xx_matrix[command],0),1),"_YES_"),"YES")))</f>
        <v/>
      </c>
      <c r="J233" t="str">
        <f>IFERROR(INDEX(xx_matrix[SrcModel],MATCH($B233,xx_matrix[command],0)),"")</f>
        <v/>
      </c>
      <c r="K233" t="str">
        <f>IFERROR(INDEX(xx_matrix[SrcObject],MATCH($B233,xx_matrix[command],0)),"")</f>
        <v/>
      </c>
      <c r="L233" t="str">
        <f>IFERROR(INDEX(xx_matrix[TgtModel],MATCH($B233,xx_matrix[command],0)),"")</f>
        <v/>
      </c>
      <c r="M233" t="str">
        <f>IFERROR(INDEX(xx_matrix[TgtObject],MATCH($B233,xx_matrix[command],0)),"")</f>
        <v/>
      </c>
      <c r="N233" t="str">
        <f>IFERROR(INDEX(xx_matrix[Instructions],MATCH($B233,xx_matrix[command],0)),"")</f>
        <v/>
      </c>
    </row>
    <row r="234" spans="1:14">
      <c r="A234" s="19"/>
      <c r="D234" s="36" t="str">
        <f>IF(ISBLANK(B234),"",IF(ISERROR(MATCH(B234,xx_matrix[command],0)),FALSE,IF(ISTEXT(INDEX(xx_matrix[videoLink],MATCH(B234,xx_matrix[command],0),1)),HYPERLINK(INDEX(xx_matrix[videoLink],MATCH(B234,xx_matrix[command],0),1),"_YES_"),"YES")))</f>
        <v/>
      </c>
      <c r="J234" t="str">
        <f>IFERROR(INDEX(xx_matrix[SrcModel],MATCH($B234,xx_matrix[command],0)),"")</f>
        <v/>
      </c>
      <c r="K234" t="str">
        <f>IFERROR(INDEX(xx_matrix[SrcObject],MATCH($B234,xx_matrix[command],0)),"")</f>
        <v/>
      </c>
      <c r="L234" t="str">
        <f>IFERROR(INDEX(xx_matrix[TgtModel],MATCH($B234,xx_matrix[command],0)),"")</f>
        <v/>
      </c>
      <c r="M234" t="str">
        <f>IFERROR(INDEX(xx_matrix[TgtObject],MATCH($B234,xx_matrix[command],0)),"")</f>
        <v/>
      </c>
      <c r="N234" t="str">
        <f>IFERROR(INDEX(xx_matrix[Instructions],MATCH($B234,xx_matrix[command],0)),"")</f>
        <v/>
      </c>
    </row>
    <row r="235" spans="1:14">
      <c r="A235" s="19"/>
      <c r="D235" s="36" t="str">
        <f>IF(ISBLANK(B235),"",IF(ISERROR(MATCH(B235,xx_matrix[command],0)),FALSE,IF(ISTEXT(INDEX(xx_matrix[videoLink],MATCH(B235,xx_matrix[command],0),1)),HYPERLINK(INDEX(xx_matrix[videoLink],MATCH(B235,xx_matrix[command],0),1),"_YES_"),"YES")))</f>
        <v/>
      </c>
      <c r="J235" t="str">
        <f>IFERROR(INDEX(xx_matrix[SrcModel],MATCH($B235,xx_matrix[command],0)),"")</f>
        <v/>
      </c>
      <c r="K235" t="str">
        <f>IFERROR(INDEX(xx_matrix[SrcObject],MATCH($B235,xx_matrix[command],0)),"")</f>
        <v/>
      </c>
      <c r="L235" t="str">
        <f>IFERROR(INDEX(xx_matrix[TgtModel],MATCH($B235,xx_matrix[command],0)),"")</f>
        <v/>
      </c>
      <c r="M235" t="str">
        <f>IFERROR(INDEX(xx_matrix[TgtObject],MATCH($B235,xx_matrix[command],0)),"")</f>
        <v/>
      </c>
      <c r="N235" t="str">
        <f>IFERROR(INDEX(xx_matrix[Instructions],MATCH($B235,xx_matrix[command],0)),"")</f>
        <v/>
      </c>
    </row>
    <row r="236" spans="1:14">
      <c r="A236" s="19"/>
      <c r="D236" s="36" t="str">
        <f>IF(ISBLANK(B236),"",IF(ISERROR(MATCH(B236,xx_matrix[command],0)),FALSE,IF(ISTEXT(INDEX(xx_matrix[videoLink],MATCH(B236,xx_matrix[command],0),1)),HYPERLINK(INDEX(xx_matrix[videoLink],MATCH(B236,xx_matrix[command],0),1),"_YES_"),"YES")))</f>
        <v/>
      </c>
      <c r="J236" t="str">
        <f>IFERROR(INDEX(xx_matrix[SrcModel],MATCH($B236,xx_matrix[command],0)),"")</f>
        <v/>
      </c>
      <c r="K236" t="str">
        <f>IFERROR(INDEX(xx_matrix[SrcObject],MATCH($B236,xx_matrix[command],0)),"")</f>
        <v/>
      </c>
      <c r="L236" t="str">
        <f>IFERROR(INDEX(xx_matrix[TgtModel],MATCH($B236,xx_matrix[command],0)),"")</f>
        <v/>
      </c>
      <c r="M236" t="str">
        <f>IFERROR(INDEX(xx_matrix[TgtObject],MATCH($B236,xx_matrix[command],0)),"")</f>
        <v/>
      </c>
      <c r="N236" t="str">
        <f>IFERROR(INDEX(xx_matrix[Instructions],MATCH($B236,xx_matrix[command],0)),"")</f>
        <v/>
      </c>
    </row>
    <row r="237" spans="1:14">
      <c r="A237" s="19"/>
      <c r="D237" s="36" t="str">
        <f>IF(ISBLANK(B237),"",IF(ISERROR(MATCH(B237,xx_matrix[command],0)),FALSE,IF(ISTEXT(INDEX(xx_matrix[videoLink],MATCH(B237,xx_matrix[command],0),1)),HYPERLINK(INDEX(xx_matrix[videoLink],MATCH(B237,xx_matrix[command],0),1),"_YES_"),"YES")))</f>
        <v/>
      </c>
      <c r="J237" t="str">
        <f>IFERROR(INDEX(xx_matrix[SrcModel],MATCH($B237,xx_matrix[command],0)),"")</f>
        <v/>
      </c>
      <c r="K237" t="str">
        <f>IFERROR(INDEX(xx_matrix[SrcObject],MATCH($B237,xx_matrix[command],0)),"")</f>
        <v/>
      </c>
      <c r="L237" t="str">
        <f>IFERROR(INDEX(xx_matrix[TgtModel],MATCH($B237,xx_matrix[command],0)),"")</f>
        <v/>
      </c>
      <c r="M237" t="str">
        <f>IFERROR(INDEX(xx_matrix[TgtObject],MATCH($B237,xx_matrix[command],0)),"")</f>
        <v/>
      </c>
      <c r="N237" t="str">
        <f>IFERROR(INDEX(xx_matrix[Instructions],MATCH($B237,xx_matrix[command],0)),"")</f>
        <v/>
      </c>
    </row>
    <row r="238" spans="1:14">
      <c r="A238" s="19"/>
      <c r="D238" s="36" t="str">
        <f>IF(ISBLANK(B238),"",IF(ISERROR(MATCH(B238,xx_matrix[command],0)),FALSE,IF(ISTEXT(INDEX(xx_matrix[videoLink],MATCH(B238,xx_matrix[command],0),1)),HYPERLINK(INDEX(xx_matrix[videoLink],MATCH(B238,xx_matrix[command],0),1),"_YES_"),"YES")))</f>
        <v/>
      </c>
      <c r="J238" t="str">
        <f>IFERROR(INDEX(xx_matrix[SrcModel],MATCH($B238,xx_matrix[command],0)),"")</f>
        <v/>
      </c>
      <c r="K238" t="str">
        <f>IFERROR(INDEX(xx_matrix[SrcObject],MATCH($B238,xx_matrix[command],0)),"")</f>
        <v/>
      </c>
      <c r="L238" t="str">
        <f>IFERROR(INDEX(xx_matrix[TgtModel],MATCH($B238,xx_matrix[command],0)),"")</f>
        <v/>
      </c>
      <c r="M238" t="str">
        <f>IFERROR(INDEX(xx_matrix[TgtObject],MATCH($B238,xx_matrix[command],0)),"")</f>
        <v/>
      </c>
      <c r="N238" t="str">
        <f>IFERROR(INDEX(xx_matrix[Instructions],MATCH($B238,xx_matrix[command],0)),"")</f>
        <v/>
      </c>
    </row>
    <row r="239" spans="1:14">
      <c r="A239" s="19"/>
      <c r="D239" s="36" t="str">
        <f>IF(ISBLANK(B239),"",IF(ISERROR(MATCH(B239,xx_matrix[command],0)),FALSE,IF(ISTEXT(INDEX(xx_matrix[videoLink],MATCH(B239,xx_matrix[command],0),1)),HYPERLINK(INDEX(xx_matrix[videoLink],MATCH(B239,xx_matrix[command],0),1),"_YES_"),"YES")))</f>
        <v/>
      </c>
      <c r="J239" t="str">
        <f>IFERROR(INDEX(xx_matrix[SrcModel],MATCH($B239,xx_matrix[command],0)),"")</f>
        <v/>
      </c>
      <c r="K239" t="str">
        <f>IFERROR(INDEX(xx_matrix[SrcObject],MATCH($B239,xx_matrix[command],0)),"")</f>
        <v/>
      </c>
      <c r="L239" t="str">
        <f>IFERROR(INDEX(xx_matrix[TgtModel],MATCH($B239,xx_matrix[command],0)),"")</f>
        <v/>
      </c>
      <c r="M239" t="str">
        <f>IFERROR(INDEX(xx_matrix[TgtObject],MATCH($B239,xx_matrix[command],0)),"")</f>
        <v/>
      </c>
      <c r="N239" t="str">
        <f>IFERROR(INDEX(xx_matrix[Instructions],MATCH($B239,xx_matrix[command],0)),"")</f>
        <v/>
      </c>
    </row>
    <row r="240" spans="1:14">
      <c r="A240" s="19"/>
      <c r="D240" s="36" t="str">
        <f>IF(ISBLANK(B240),"",IF(ISERROR(MATCH(B240,xx_matrix[command],0)),FALSE,IF(ISTEXT(INDEX(xx_matrix[videoLink],MATCH(B240,xx_matrix[command],0),1)),HYPERLINK(INDEX(xx_matrix[videoLink],MATCH(B240,xx_matrix[command],0),1),"_YES_"),"YES")))</f>
        <v/>
      </c>
      <c r="J240" t="str">
        <f>IFERROR(INDEX(xx_matrix[SrcModel],MATCH($B240,xx_matrix[command],0)),"")</f>
        <v/>
      </c>
      <c r="K240" t="str">
        <f>IFERROR(INDEX(xx_matrix[SrcObject],MATCH($B240,xx_matrix[command],0)),"")</f>
        <v/>
      </c>
      <c r="L240" t="str">
        <f>IFERROR(INDEX(xx_matrix[TgtModel],MATCH($B240,xx_matrix[command],0)),"")</f>
        <v/>
      </c>
      <c r="M240" t="str">
        <f>IFERROR(INDEX(xx_matrix[TgtObject],MATCH($B240,xx_matrix[command],0)),"")</f>
        <v/>
      </c>
      <c r="N240" t="str">
        <f>IFERROR(INDEX(xx_matrix[Instructions],MATCH($B240,xx_matrix[command],0)),"")</f>
        <v/>
      </c>
    </row>
    <row r="241" spans="1:14">
      <c r="A241" s="19"/>
      <c r="D241" s="36" t="str">
        <f>IF(ISBLANK(B241),"",IF(ISERROR(MATCH(B241,xx_matrix[command],0)),FALSE,IF(ISTEXT(INDEX(xx_matrix[videoLink],MATCH(B241,xx_matrix[command],0),1)),HYPERLINK(INDEX(xx_matrix[videoLink],MATCH(B241,xx_matrix[command],0),1),"_YES_"),"YES")))</f>
        <v/>
      </c>
      <c r="J241" t="str">
        <f>IFERROR(INDEX(xx_matrix[SrcModel],MATCH($B241,xx_matrix[command],0)),"")</f>
        <v/>
      </c>
      <c r="K241" t="str">
        <f>IFERROR(INDEX(xx_matrix[SrcObject],MATCH($B241,xx_matrix[command],0)),"")</f>
        <v/>
      </c>
      <c r="L241" t="str">
        <f>IFERROR(INDEX(xx_matrix[TgtModel],MATCH($B241,xx_matrix[command],0)),"")</f>
        <v/>
      </c>
      <c r="M241" t="str">
        <f>IFERROR(INDEX(xx_matrix[TgtObject],MATCH($B241,xx_matrix[command],0)),"")</f>
        <v/>
      </c>
      <c r="N241" t="str">
        <f>IFERROR(INDEX(xx_matrix[Instructions],MATCH($B241,xx_matrix[command],0)),"")</f>
        <v/>
      </c>
    </row>
    <row r="242" spans="1:14">
      <c r="A242" s="19"/>
      <c r="D242" s="36" t="str">
        <f>IF(ISBLANK(B242),"",IF(ISERROR(MATCH(B242,xx_matrix[command],0)),FALSE,IF(ISTEXT(INDEX(xx_matrix[videoLink],MATCH(B242,xx_matrix[command],0),1)),HYPERLINK(INDEX(xx_matrix[videoLink],MATCH(B242,xx_matrix[command],0),1),"_YES_"),"YES")))</f>
        <v/>
      </c>
      <c r="J242" t="str">
        <f>IFERROR(INDEX(xx_matrix[SrcModel],MATCH($B242,xx_matrix[command],0)),"")</f>
        <v/>
      </c>
      <c r="K242" t="str">
        <f>IFERROR(INDEX(xx_matrix[SrcObject],MATCH($B242,xx_matrix[command],0)),"")</f>
        <v/>
      </c>
      <c r="L242" t="str">
        <f>IFERROR(INDEX(xx_matrix[TgtModel],MATCH($B242,xx_matrix[command],0)),"")</f>
        <v/>
      </c>
      <c r="M242" t="str">
        <f>IFERROR(INDEX(xx_matrix[TgtObject],MATCH($B242,xx_matrix[command],0)),"")</f>
        <v/>
      </c>
      <c r="N242" t="str">
        <f>IFERROR(INDEX(xx_matrix[Instructions],MATCH($B242,xx_matrix[command],0)),"")</f>
        <v/>
      </c>
    </row>
    <row r="243" spans="1:14">
      <c r="A243" s="19"/>
      <c r="D243" s="36" t="str">
        <f>IF(ISBLANK(B243),"",IF(ISERROR(MATCH(B243,xx_matrix[command],0)),FALSE,IF(ISTEXT(INDEX(xx_matrix[videoLink],MATCH(B243,xx_matrix[command],0),1)),HYPERLINK(INDEX(xx_matrix[videoLink],MATCH(B243,xx_matrix[command],0),1),"_YES_"),"YES")))</f>
        <v/>
      </c>
      <c r="J243" t="str">
        <f>IFERROR(INDEX(xx_matrix[SrcModel],MATCH($B243,xx_matrix[command],0)),"")</f>
        <v/>
      </c>
      <c r="K243" t="str">
        <f>IFERROR(INDEX(xx_matrix[SrcObject],MATCH($B243,xx_matrix[command],0)),"")</f>
        <v/>
      </c>
      <c r="L243" t="str">
        <f>IFERROR(INDEX(xx_matrix[TgtModel],MATCH($B243,xx_matrix[command],0)),"")</f>
        <v/>
      </c>
      <c r="M243" t="str">
        <f>IFERROR(INDEX(xx_matrix[TgtObject],MATCH($B243,xx_matrix[command],0)),"")</f>
        <v/>
      </c>
      <c r="N243" t="str">
        <f>IFERROR(INDEX(xx_matrix[Instructions],MATCH($B243,xx_matrix[command],0)),"")</f>
        <v/>
      </c>
    </row>
    <row r="244" spans="1:14">
      <c r="A244" s="19"/>
      <c r="D244" s="36" t="str">
        <f>IF(ISBLANK(B244),"",IF(ISERROR(MATCH(B244,xx_matrix[command],0)),FALSE,IF(ISTEXT(INDEX(xx_matrix[videoLink],MATCH(B244,xx_matrix[command],0),1)),HYPERLINK(INDEX(xx_matrix[videoLink],MATCH(B244,xx_matrix[command],0),1),"_YES_"),"YES")))</f>
        <v/>
      </c>
      <c r="J244" t="str">
        <f>IFERROR(INDEX(xx_matrix[SrcModel],MATCH($B244,xx_matrix[command],0)),"")</f>
        <v/>
      </c>
      <c r="K244" t="str">
        <f>IFERROR(INDEX(xx_matrix[SrcObject],MATCH($B244,xx_matrix[command],0)),"")</f>
        <v/>
      </c>
      <c r="L244" t="str">
        <f>IFERROR(INDEX(xx_matrix[TgtModel],MATCH($B244,xx_matrix[command],0)),"")</f>
        <v/>
      </c>
      <c r="M244" t="str">
        <f>IFERROR(INDEX(xx_matrix[TgtObject],MATCH($B244,xx_matrix[command],0)),"")</f>
        <v/>
      </c>
      <c r="N244" t="str">
        <f>IFERROR(INDEX(xx_matrix[Instructions],MATCH($B244,xx_matrix[command],0)),"")</f>
        <v/>
      </c>
    </row>
    <row r="245" spans="1:14">
      <c r="A245" s="19"/>
      <c r="D245" s="36" t="str">
        <f>IF(ISBLANK(B245),"",IF(ISERROR(MATCH(B245,xx_matrix[command],0)),FALSE,IF(ISTEXT(INDEX(xx_matrix[videoLink],MATCH(B245,xx_matrix[command],0),1)),HYPERLINK(INDEX(xx_matrix[videoLink],MATCH(B245,xx_matrix[command],0),1),"_YES_"),"YES")))</f>
        <v/>
      </c>
      <c r="J245" t="str">
        <f>IFERROR(INDEX(xx_matrix[SrcModel],MATCH($B245,xx_matrix[command],0)),"")</f>
        <v/>
      </c>
      <c r="K245" t="str">
        <f>IFERROR(INDEX(xx_matrix[SrcObject],MATCH($B245,xx_matrix[command],0)),"")</f>
        <v/>
      </c>
      <c r="L245" t="str">
        <f>IFERROR(INDEX(xx_matrix[TgtModel],MATCH($B245,xx_matrix[command],0)),"")</f>
        <v/>
      </c>
      <c r="M245" t="str">
        <f>IFERROR(INDEX(xx_matrix[TgtObject],MATCH($B245,xx_matrix[command],0)),"")</f>
        <v/>
      </c>
      <c r="N245" t="str">
        <f>IFERROR(INDEX(xx_matrix[Instructions],MATCH($B245,xx_matrix[command],0)),"")</f>
        <v/>
      </c>
    </row>
    <row r="246" spans="1:14">
      <c r="A246" s="19"/>
      <c r="D246" s="36" t="str">
        <f>IF(ISBLANK(B246),"",IF(ISERROR(MATCH(B246,xx_matrix[command],0)),FALSE,IF(ISTEXT(INDEX(xx_matrix[videoLink],MATCH(B246,xx_matrix[command],0),1)),HYPERLINK(INDEX(xx_matrix[videoLink],MATCH(B246,xx_matrix[command],0),1),"_YES_"),"YES")))</f>
        <v/>
      </c>
      <c r="J246" t="str">
        <f>IFERROR(INDEX(xx_matrix[SrcModel],MATCH($B246,xx_matrix[command],0)),"")</f>
        <v/>
      </c>
      <c r="K246" t="str">
        <f>IFERROR(INDEX(xx_matrix[SrcObject],MATCH($B246,xx_matrix[command],0)),"")</f>
        <v/>
      </c>
      <c r="L246" t="str">
        <f>IFERROR(INDEX(xx_matrix[TgtModel],MATCH($B246,xx_matrix[command],0)),"")</f>
        <v/>
      </c>
      <c r="M246" t="str">
        <f>IFERROR(INDEX(xx_matrix[TgtObject],MATCH($B246,xx_matrix[command],0)),"")</f>
        <v/>
      </c>
      <c r="N246" t="str">
        <f>IFERROR(INDEX(xx_matrix[Instructions],MATCH($B246,xx_matrix[command],0)),"")</f>
        <v/>
      </c>
    </row>
    <row r="247" spans="1:14">
      <c r="A247" s="19"/>
      <c r="D247" s="36" t="str">
        <f>IF(ISBLANK(B247),"",IF(ISERROR(MATCH(B247,xx_matrix[command],0)),FALSE,IF(ISTEXT(INDEX(xx_matrix[videoLink],MATCH(B247,xx_matrix[command],0),1)),HYPERLINK(INDEX(xx_matrix[videoLink],MATCH(B247,xx_matrix[command],0),1),"_YES_"),"YES")))</f>
        <v/>
      </c>
      <c r="J247" t="str">
        <f>IFERROR(INDEX(xx_matrix[SrcModel],MATCH($B247,xx_matrix[command],0)),"")</f>
        <v/>
      </c>
      <c r="K247" t="str">
        <f>IFERROR(INDEX(xx_matrix[SrcObject],MATCH($B247,xx_matrix[command],0)),"")</f>
        <v/>
      </c>
      <c r="L247" t="str">
        <f>IFERROR(INDEX(xx_matrix[TgtModel],MATCH($B247,xx_matrix[command],0)),"")</f>
        <v/>
      </c>
      <c r="M247" t="str">
        <f>IFERROR(INDEX(xx_matrix[TgtObject],MATCH($B247,xx_matrix[command],0)),"")</f>
        <v/>
      </c>
      <c r="N247" t="str">
        <f>IFERROR(INDEX(xx_matrix[Instructions],MATCH($B247,xx_matrix[command],0)),"")</f>
        <v/>
      </c>
    </row>
    <row r="248" spans="1:14">
      <c r="A248" s="19"/>
      <c r="D248" s="36" t="str">
        <f>IF(ISBLANK(B248),"",IF(ISERROR(MATCH(B248,xx_matrix[command],0)),FALSE,IF(ISTEXT(INDEX(xx_matrix[videoLink],MATCH(B248,xx_matrix[command],0),1)),HYPERLINK(INDEX(xx_matrix[videoLink],MATCH(B248,xx_matrix[command],0),1),"_YES_"),"YES")))</f>
        <v/>
      </c>
      <c r="J248" t="str">
        <f>IFERROR(INDEX(xx_matrix[SrcModel],MATCH($B248,xx_matrix[command],0)),"")</f>
        <v/>
      </c>
      <c r="K248" t="str">
        <f>IFERROR(INDEX(xx_matrix[SrcObject],MATCH($B248,xx_matrix[command],0)),"")</f>
        <v/>
      </c>
      <c r="L248" t="str">
        <f>IFERROR(INDEX(xx_matrix[TgtModel],MATCH($B248,xx_matrix[command],0)),"")</f>
        <v/>
      </c>
      <c r="M248" t="str">
        <f>IFERROR(INDEX(xx_matrix[TgtObject],MATCH($B248,xx_matrix[command],0)),"")</f>
        <v/>
      </c>
      <c r="N248" t="str">
        <f>IFERROR(INDEX(xx_matrix[Instructions],MATCH($B248,xx_matrix[command],0)),"")</f>
        <v/>
      </c>
    </row>
    <row r="249" spans="1:14">
      <c r="A249" s="19"/>
      <c r="D249" s="36" t="str">
        <f>IF(ISBLANK(B249),"",IF(ISERROR(MATCH(B249,xx_matrix[command],0)),FALSE,IF(ISTEXT(INDEX(xx_matrix[videoLink],MATCH(B249,xx_matrix[command],0),1)),HYPERLINK(INDEX(xx_matrix[videoLink],MATCH(B249,xx_matrix[command],0),1),"_YES_"),"YES")))</f>
        <v/>
      </c>
      <c r="J249" t="str">
        <f>IFERROR(INDEX(xx_matrix[SrcModel],MATCH($B249,xx_matrix[command],0)),"")</f>
        <v/>
      </c>
      <c r="K249" t="str">
        <f>IFERROR(INDEX(xx_matrix[SrcObject],MATCH($B249,xx_matrix[command],0)),"")</f>
        <v/>
      </c>
      <c r="L249" t="str">
        <f>IFERROR(INDEX(xx_matrix[TgtModel],MATCH($B249,xx_matrix[command],0)),"")</f>
        <v/>
      </c>
      <c r="M249" t="str">
        <f>IFERROR(INDEX(xx_matrix[TgtObject],MATCH($B249,xx_matrix[command],0)),"")</f>
        <v/>
      </c>
      <c r="N249" t="str">
        <f>IFERROR(INDEX(xx_matrix[Instructions],MATCH($B249,xx_matrix[command],0)),"")</f>
        <v/>
      </c>
    </row>
    <row r="250" spans="1:14">
      <c r="A250" s="19"/>
      <c r="D250" s="36" t="str">
        <f>IF(ISBLANK(B250),"",IF(ISERROR(MATCH(B250,xx_matrix[command],0)),FALSE,IF(ISTEXT(INDEX(xx_matrix[videoLink],MATCH(B250,xx_matrix[command],0),1)),HYPERLINK(INDEX(xx_matrix[videoLink],MATCH(B250,xx_matrix[command],0),1),"_YES_"),"YES")))</f>
        <v/>
      </c>
      <c r="J250" t="str">
        <f>IFERROR(INDEX(xx_matrix[SrcModel],MATCH($B250,xx_matrix[command],0)),"")</f>
        <v/>
      </c>
      <c r="K250" t="str">
        <f>IFERROR(INDEX(xx_matrix[SrcObject],MATCH($B250,xx_matrix[command],0)),"")</f>
        <v/>
      </c>
      <c r="L250" t="str">
        <f>IFERROR(INDEX(xx_matrix[TgtModel],MATCH($B250,xx_matrix[command],0)),"")</f>
        <v/>
      </c>
      <c r="M250" t="str">
        <f>IFERROR(INDEX(xx_matrix[TgtObject],MATCH($B250,xx_matrix[command],0)),"")</f>
        <v/>
      </c>
      <c r="N250" t="str">
        <f>IFERROR(INDEX(xx_matrix[Instructions],MATCH($B250,xx_matrix[command],0)),"")</f>
        <v/>
      </c>
    </row>
    <row r="251" spans="1:14">
      <c r="A251" s="19"/>
      <c r="D251" s="36" t="str">
        <f>IF(ISBLANK(B251),"",IF(ISERROR(MATCH(B251,xx_matrix[command],0)),FALSE,IF(ISTEXT(INDEX(xx_matrix[videoLink],MATCH(B251,xx_matrix[command],0),1)),HYPERLINK(INDEX(xx_matrix[videoLink],MATCH(B251,xx_matrix[command],0),1),"_YES_"),"YES")))</f>
        <v/>
      </c>
      <c r="J251" t="str">
        <f>IFERROR(INDEX(xx_matrix[SrcModel],MATCH($B251,xx_matrix[command],0)),"")</f>
        <v/>
      </c>
      <c r="K251" t="str">
        <f>IFERROR(INDEX(xx_matrix[SrcObject],MATCH($B251,xx_matrix[command],0)),"")</f>
        <v/>
      </c>
      <c r="L251" t="str">
        <f>IFERROR(INDEX(xx_matrix[TgtModel],MATCH($B251,xx_matrix[command],0)),"")</f>
        <v/>
      </c>
      <c r="M251" t="str">
        <f>IFERROR(INDEX(xx_matrix[TgtObject],MATCH($B251,xx_matrix[command],0)),"")</f>
        <v/>
      </c>
      <c r="N251" t="str">
        <f>IFERROR(INDEX(xx_matrix[Instructions],MATCH($B251,xx_matrix[command],0)),"")</f>
        <v/>
      </c>
    </row>
    <row r="252" spans="1:14">
      <c r="A252" s="19"/>
      <c r="D252" s="36" t="str">
        <f>IF(ISBLANK(B252),"",IF(ISERROR(MATCH(B252,xx_matrix[command],0)),FALSE,IF(ISTEXT(INDEX(xx_matrix[videoLink],MATCH(B252,xx_matrix[command],0),1)),HYPERLINK(INDEX(xx_matrix[videoLink],MATCH(B252,xx_matrix[command],0),1),"_YES_"),"YES")))</f>
        <v/>
      </c>
      <c r="J252" t="str">
        <f>IFERROR(INDEX(xx_matrix[SrcModel],MATCH($B252,xx_matrix[command],0)),"")</f>
        <v/>
      </c>
      <c r="K252" t="str">
        <f>IFERROR(INDEX(xx_matrix[SrcObject],MATCH($B252,xx_matrix[command],0)),"")</f>
        <v/>
      </c>
      <c r="L252" t="str">
        <f>IFERROR(INDEX(xx_matrix[TgtModel],MATCH($B252,xx_matrix[command],0)),"")</f>
        <v/>
      </c>
      <c r="M252" t="str">
        <f>IFERROR(INDEX(xx_matrix[TgtObject],MATCH($B252,xx_matrix[command],0)),"")</f>
        <v/>
      </c>
      <c r="N252" t="str">
        <f>IFERROR(INDEX(xx_matrix[Instructions],MATCH($B252,xx_matrix[command],0)),"")</f>
        <v/>
      </c>
    </row>
    <row r="253" spans="1:14">
      <c r="A253" s="19"/>
      <c r="D253" s="36" t="str">
        <f>IF(ISBLANK(B253),"",IF(ISERROR(MATCH(B253,xx_matrix[command],0)),FALSE,IF(ISTEXT(INDEX(xx_matrix[videoLink],MATCH(B253,xx_matrix[command],0),1)),HYPERLINK(INDEX(xx_matrix[videoLink],MATCH(B253,xx_matrix[command],0),1),"_YES_"),"YES")))</f>
        <v/>
      </c>
      <c r="J253" t="str">
        <f>IFERROR(INDEX(xx_matrix[SrcModel],MATCH($B253,xx_matrix[command],0)),"")</f>
        <v/>
      </c>
      <c r="K253" t="str">
        <f>IFERROR(INDEX(xx_matrix[SrcObject],MATCH($B253,xx_matrix[command],0)),"")</f>
        <v/>
      </c>
      <c r="L253" t="str">
        <f>IFERROR(INDEX(xx_matrix[TgtModel],MATCH($B253,xx_matrix[command],0)),"")</f>
        <v/>
      </c>
      <c r="M253" t="str">
        <f>IFERROR(INDEX(xx_matrix[TgtObject],MATCH($B253,xx_matrix[command],0)),"")</f>
        <v/>
      </c>
      <c r="N253" t="str">
        <f>IFERROR(INDEX(xx_matrix[Instructions],MATCH($B253,xx_matrix[command],0)),"")</f>
        <v/>
      </c>
    </row>
    <row r="254" spans="1:14">
      <c r="A254" s="19"/>
      <c r="D254" s="36" t="str">
        <f>IF(ISBLANK(B254),"",IF(ISERROR(MATCH(B254,xx_matrix[command],0)),FALSE,IF(ISTEXT(INDEX(xx_matrix[videoLink],MATCH(B254,xx_matrix[command],0),1)),HYPERLINK(INDEX(xx_matrix[videoLink],MATCH(B254,xx_matrix[command],0),1),"_YES_"),"YES")))</f>
        <v/>
      </c>
      <c r="J254" t="str">
        <f>IFERROR(INDEX(xx_matrix[SrcModel],MATCH($B254,xx_matrix[command],0)),"")</f>
        <v/>
      </c>
      <c r="K254" t="str">
        <f>IFERROR(INDEX(xx_matrix[SrcObject],MATCH($B254,xx_matrix[command],0)),"")</f>
        <v/>
      </c>
      <c r="L254" t="str">
        <f>IFERROR(INDEX(xx_matrix[TgtModel],MATCH($B254,xx_matrix[command],0)),"")</f>
        <v/>
      </c>
      <c r="M254" t="str">
        <f>IFERROR(INDEX(xx_matrix[TgtObject],MATCH($B254,xx_matrix[command],0)),"")</f>
        <v/>
      </c>
      <c r="N254" t="str">
        <f>IFERROR(INDEX(xx_matrix[Instructions],MATCH($B254,xx_matrix[command],0)),"")</f>
        <v/>
      </c>
    </row>
    <row r="255" spans="1:14">
      <c r="A255" s="19"/>
      <c r="D255" s="36" t="str">
        <f>IF(ISBLANK(B255),"",IF(ISERROR(MATCH(B255,xx_matrix[command],0)),FALSE,IF(ISTEXT(INDEX(xx_matrix[videoLink],MATCH(B255,xx_matrix[command],0),1)),HYPERLINK(INDEX(xx_matrix[videoLink],MATCH(B255,xx_matrix[command],0),1),"_YES_"),"YES")))</f>
        <v/>
      </c>
      <c r="J255" t="str">
        <f>IFERROR(INDEX(xx_matrix[SrcModel],MATCH($B255,xx_matrix[command],0)),"")</f>
        <v/>
      </c>
      <c r="K255" t="str">
        <f>IFERROR(INDEX(xx_matrix[SrcObject],MATCH($B255,xx_matrix[command],0)),"")</f>
        <v/>
      </c>
      <c r="L255" t="str">
        <f>IFERROR(INDEX(xx_matrix[TgtModel],MATCH($B255,xx_matrix[command],0)),"")</f>
        <v/>
      </c>
      <c r="M255" t="str">
        <f>IFERROR(INDEX(xx_matrix[TgtObject],MATCH($B255,xx_matrix[command],0)),"")</f>
        <v/>
      </c>
      <c r="N255" t="str">
        <f>IFERROR(INDEX(xx_matrix[Instructions],MATCH($B255,xx_matrix[command],0)),"")</f>
        <v/>
      </c>
    </row>
    <row r="256" spans="1:14">
      <c r="A256" s="19"/>
      <c r="D256" s="36" t="str">
        <f>IF(ISBLANK(B256),"",IF(ISERROR(MATCH(B256,xx_matrix[command],0)),FALSE,IF(ISTEXT(INDEX(xx_matrix[videoLink],MATCH(B256,xx_matrix[command],0),1)),HYPERLINK(INDEX(xx_matrix[videoLink],MATCH(B256,xx_matrix[command],0),1),"_YES_"),"YES")))</f>
        <v/>
      </c>
      <c r="J256" t="str">
        <f>IFERROR(INDEX(xx_matrix[SrcModel],MATCH($B256,xx_matrix[command],0)),"")</f>
        <v/>
      </c>
      <c r="K256" t="str">
        <f>IFERROR(INDEX(xx_matrix[SrcObject],MATCH($B256,xx_matrix[command],0)),"")</f>
        <v/>
      </c>
      <c r="L256" t="str">
        <f>IFERROR(INDEX(xx_matrix[TgtModel],MATCH($B256,xx_matrix[command],0)),"")</f>
        <v/>
      </c>
      <c r="M256" t="str">
        <f>IFERROR(INDEX(xx_matrix[TgtObject],MATCH($B256,xx_matrix[command],0)),"")</f>
        <v/>
      </c>
      <c r="N256" t="str">
        <f>IFERROR(INDEX(xx_matrix[Instructions],MATCH($B256,xx_matrix[command],0)),"")</f>
        <v/>
      </c>
    </row>
    <row r="257" spans="1:14">
      <c r="A257" s="19"/>
      <c r="D257" s="36" t="str">
        <f>IF(ISBLANK(B257),"",IF(ISERROR(MATCH(B257,xx_matrix[command],0)),FALSE,IF(ISTEXT(INDEX(xx_matrix[videoLink],MATCH(B257,xx_matrix[command],0),1)),HYPERLINK(INDEX(xx_matrix[videoLink],MATCH(B257,xx_matrix[command],0),1),"_YES_"),"YES")))</f>
        <v/>
      </c>
      <c r="J257" t="str">
        <f>IFERROR(INDEX(xx_matrix[SrcModel],MATCH($B257,xx_matrix[command],0)),"")</f>
        <v/>
      </c>
      <c r="K257" t="str">
        <f>IFERROR(INDEX(xx_matrix[SrcObject],MATCH($B257,xx_matrix[command],0)),"")</f>
        <v/>
      </c>
      <c r="L257" t="str">
        <f>IFERROR(INDEX(xx_matrix[TgtModel],MATCH($B257,xx_matrix[command],0)),"")</f>
        <v/>
      </c>
      <c r="M257" t="str">
        <f>IFERROR(INDEX(xx_matrix[TgtObject],MATCH($B257,xx_matrix[command],0)),"")</f>
        <v/>
      </c>
      <c r="N257" t="str">
        <f>IFERROR(INDEX(xx_matrix[Instructions],MATCH($B257,xx_matrix[command],0)),"")</f>
        <v/>
      </c>
    </row>
    <row r="258" spans="1:14">
      <c r="A258" s="19"/>
      <c r="D258" s="36" t="str">
        <f>IF(ISBLANK(B258),"",IF(ISERROR(MATCH(B258,xx_matrix[command],0)),FALSE,IF(ISTEXT(INDEX(xx_matrix[videoLink],MATCH(B258,xx_matrix[command],0),1)),HYPERLINK(INDEX(xx_matrix[videoLink],MATCH(B258,xx_matrix[command],0),1),"_YES_"),"YES")))</f>
        <v/>
      </c>
      <c r="J258" t="str">
        <f>IFERROR(INDEX(xx_matrix[SrcModel],MATCH($B258,xx_matrix[command],0)),"")</f>
        <v/>
      </c>
      <c r="K258" t="str">
        <f>IFERROR(INDEX(xx_matrix[SrcObject],MATCH($B258,xx_matrix[command],0)),"")</f>
        <v/>
      </c>
      <c r="L258" t="str">
        <f>IFERROR(INDEX(xx_matrix[TgtModel],MATCH($B258,xx_matrix[command],0)),"")</f>
        <v/>
      </c>
      <c r="M258" t="str">
        <f>IFERROR(INDEX(xx_matrix[TgtObject],MATCH($B258,xx_matrix[command],0)),"")</f>
        <v/>
      </c>
      <c r="N258" t="str">
        <f>IFERROR(INDEX(xx_matrix[Instructions],MATCH($B258,xx_matrix[command],0)),"")</f>
        <v/>
      </c>
    </row>
    <row r="259" spans="1:14">
      <c r="A259" s="19"/>
      <c r="D259" s="36" t="str">
        <f>IF(ISBLANK(B259),"",IF(ISERROR(MATCH(B259,xx_matrix[command],0)),FALSE,IF(ISTEXT(INDEX(xx_matrix[videoLink],MATCH(B259,xx_matrix[command],0),1)),HYPERLINK(INDEX(xx_matrix[videoLink],MATCH(B259,xx_matrix[command],0),1),"_YES_"),"YES")))</f>
        <v/>
      </c>
      <c r="J259" t="str">
        <f>IFERROR(INDEX(xx_matrix[SrcModel],MATCH($B259,xx_matrix[command],0)),"")</f>
        <v/>
      </c>
      <c r="K259" t="str">
        <f>IFERROR(INDEX(xx_matrix[SrcObject],MATCH($B259,xx_matrix[command],0)),"")</f>
        <v/>
      </c>
      <c r="L259" t="str">
        <f>IFERROR(INDEX(xx_matrix[TgtModel],MATCH($B259,xx_matrix[command],0)),"")</f>
        <v/>
      </c>
      <c r="M259" t="str">
        <f>IFERROR(INDEX(xx_matrix[TgtObject],MATCH($B259,xx_matrix[command],0)),"")</f>
        <v/>
      </c>
      <c r="N259" t="str">
        <f>IFERROR(INDEX(xx_matrix[Instructions],MATCH($B259,xx_matrix[command],0)),"")</f>
        <v/>
      </c>
    </row>
    <row r="260" spans="1:14">
      <c r="A260" s="19"/>
      <c r="D260" s="36" t="str">
        <f>IF(ISBLANK(B260),"",IF(ISERROR(MATCH(B260,xx_matrix[command],0)),FALSE,IF(ISTEXT(INDEX(xx_matrix[videoLink],MATCH(B260,xx_matrix[command],0),1)),HYPERLINK(INDEX(xx_matrix[videoLink],MATCH(B260,xx_matrix[command],0),1),"_YES_"),"YES")))</f>
        <v/>
      </c>
      <c r="J260" t="str">
        <f>IFERROR(INDEX(xx_matrix[SrcModel],MATCH($B260,xx_matrix[command],0)),"")</f>
        <v/>
      </c>
      <c r="K260" t="str">
        <f>IFERROR(INDEX(xx_matrix[SrcObject],MATCH($B260,xx_matrix[command],0)),"")</f>
        <v/>
      </c>
      <c r="L260" t="str">
        <f>IFERROR(INDEX(xx_matrix[TgtModel],MATCH($B260,xx_matrix[command],0)),"")</f>
        <v/>
      </c>
      <c r="M260" t="str">
        <f>IFERROR(INDEX(xx_matrix[TgtObject],MATCH($B260,xx_matrix[command],0)),"")</f>
        <v/>
      </c>
      <c r="N260" t="str">
        <f>IFERROR(INDEX(xx_matrix[Instructions],MATCH($B260,xx_matrix[command],0)),"")</f>
        <v/>
      </c>
    </row>
    <row r="261" spans="1:14">
      <c r="A261" s="19"/>
      <c r="D261" s="36" t="str">
        <f>IF(ISBLANK(B261),"",IF(ISERROR(MATCH(B261,xx_matrix[command],0)),FALSE,IF(ISTEXT(INDEX(xx_matrix[videoLink],MATCH(B261,xx_matrix[command],0),1)),HYPERLINK(INDEX(xx_matrix[videoLink],MATCH(B261,xx_matrix[command],0),1),"_YES_"),"YES")))</f>
        <v/>
      </c>
      <c r="J261" t="str">
        <f>IFERROR(INDEX(xx_matrix[SrcModel],MATCH($B261,xx_matrix[command],0)),"")</f>
        <v/>
      </c>
      <c r="K261" t="str">
        <f>IFERROR(INDEX(xx_matrix[SrcObject],MATCH($B261,xx_matrix[command],0)),"")</f>
        <v/>
      </c>
      <c r="L261" t="str">
        <f>IFERROR(INDEX(xx_matrix[TgtModel],MATCH($B261,xx_matrix[command],0)),"")</f>
        <v/>
      </c>
      <c r="M261" t="str">
        <f>IFERROR(INDEX(xx_matrix[TgtObject],MATCH($B261,xx_matrix[command],0)),"")</f>
        <v/>
      </c>
      <c r="N261" t="str">
        <f>IFERROR(INDEX(xx_matrix[Instructions],MATCH($B261,xx_matrix[command],0)),"")</f>
        <v/>
      </c>
    </row>
    <row r="262" spans="1:14">
      <c r="A262" s="19"/>
      <c r="D262" s="36" t="str">
        <f>IF(ISBLANK(B262),"",IF(ISERROR(MATCH(B262,xx_matrix[command],0)),FALSE,IF(ISTEXT(INDEX(xx_matrix[videoLink],MATCH(B262,xx_matrix[command],0),1)),HYPERLINK(INDEX(xx_matrix[videoLink],MATCH(B262,xx_matrix[command],0),1),"_YES_"),"YES")))</f>
        <v/>
      </c>
      <c r="J262" t="str">
        <f>IFERROR(INDEX(xx_matrix[SrcModel],MATCH($B262,xx_matrix[command],0)),"")</f>
        <v/>
      </c>
      <c r="K262" t="str">
        <f>IFERROR(INDEX(xx_matrix[SrcObject],MATCH($B262,xx_matrix[command],0)),"")</f>
        <v/>
      </c>
      <c r="L262" t="str">
        <f>IFERROR(INDEX(xx_matrix[TgtModel],MATCH($B262,xx_matrix[command],0)),"")</f>
        <v/>
      </c>
      <c r="M262" t="str">
        <f>IFERROR(INDEX(xx_matrix[TgtObject],MATCH($B262,xx_matrix[command],0)),"")</f>
        <v/>
      </c>
      <c r="N262" t="str">
        <f>IFERROR(INDEX(xx_matrix[Instructions],MATCH($B262,xx_matrix[command],0)),"")</f>
        <v/>
      </c>
    </row>
    <row r="263" spans="1:14">
      <c r="A263" s="19"/>
      <c r="D263" s="36" t="str">
        <f>IF(ISBLANK(B263),"",IF(ISERROR(MATCH(B263,xx_matrix[command],0)),FALSE,IF(ISTEXT(INDEX(xx_matrix[videoLink],MATCH(B263,xx_matrix[command],0),1)),HYPERLINK(INDEX(xx_matrix[videoLink],MATCH(B263,xx_matrix[command],0),1),"_YES_"),"YES")))</f>
        <v/>
      </c>
      <c r="J263" t="str">
        <f>IFERROR(INDEX(xx_matrix[SrcModel],MATCH($B263,xx_matrix[command],0)),"")</f>
        <v/>
      </c>
      <c r="K263" t="str">
        <f>IFERROR(INDEX(xx_matrix[SrcObject],MATCH($B263,xx_matrix[command],0)),"")</f>
        <v/>
      </c>
      <c r="L263" t="str">
        <f>IFERROR(INDEX(xx_matrix[TgtModel],MATCH($B263,xx_matrix[command],0)),"")</f>
        <v/>
      </c>
      <c r="M263" t="str">
        <f>IFERROR(INDEX(xx_matrix[TgtObject],MATCH($B263,xx_matrix[command],0)),"")</f>
        <v/>
      </c>
      <c r="N263" t="str">
        <f>IFERROR(INDEX(xx_matrix[Instructions],MATCH($B263,xx_matrix[command],0)),"")</f>
        <v/>
      </c>
    </row>
    <row r="264" spans="1:14">
      <c r="A264" s="19"/>
      <c r="D264" s="36" t="str">
        <f>IF(ISBLANK(B264),"",IF(ISERROR(MATCH(B264,xx_matrix[command],0)),FALSE,IF(ISTEXT(INDEX(xx_matrix[videoLink],MATCH(B264,xx_matrix[command],0),1)),HYPERLINK(INDEX(xx_matrix[videoLink],MATCH(B264,xx_matrix[command],0),1),"_YES_"),"YES")))</f>
        <v/>
      </c>
      <c r="J264" t="str">
        <f>IFERROR(INDEX(xx_matrix[SrcModel],MATCH($B264,xx_matrix[command],0)),"")</f>
        <v/>
      </c>
      <c r="K264" t="str">
        <f>IFERROR(INDEX(xx_matrix[SrcObject],MATCH($B264,xx_matrix[command],0)),"")</f>
        <v/>
      </c>
      <c r="L264" t="str">
        <f>IFERROR(INDEX(xx_matrix[TgtModel],MATCH($B264,xx_matrix[command],0)),"")</f>
        <v/>
      </c>
      <c r="M264" t="str">
        <f>IFERROR(INDEX(xx_matrix[TgtObject],MATCH($B264,xx_matrix[command],0)),"")</f>
        <v/>
      </c>
      <c r="N264" t="str">
        <f>IFERROR(INDEX(xx_matrix[Instructions],MATCH($B264,xx_matrix[command],0)),"")</f>
        <v/>
      </c>
    </row>
    <row r="265" spans="1:14">
      <c r="A265" s="19"/>
      <c r="D265" s="36" t="str">
        <f>IF(ISBLANK(B265),"",IF(ISERROR(MATCH(B265,xx_matrix[command],0)),FALSE,IF(ISTEXT(INDEX(xx_matrix[videoLink],MATCH(B265,xx_matrix[command],0),1)),HYPERLINK(INDEX(xx_matrix[videoLink],MATCH(B265,xx_matrix[command],0),1),"_YES_"),"YES")))</f>
        <v/>
      </c>
      <c r="J265" t="str">
        <f>IFERROR(INDEX(xx_matrix[SrcModel],MATCH($B265,xx_matrix[command],0)),"")</f>
        <v/>
      </c>
      <c r="K265" t="str">
        <f>IFERROR(INDEX(xx_matrix[SrcObject],MATCH($B265,xx_matrix[command],0)),"")</f>
        <v/>
      </c>
      <c r="L265" t="str">
        <f>IFERROR(INDEX(xx_matrix[TgtModel],MATCH($B265,xx_matrix[command],0)),"")</f>
        <v/>
      </c>
      <c r="M265" t="str">
        <f>IFERROR(INDEX(xx_matrix[TgtObject],MATCH($B265,xx_matrix[command],0)),"")</f>
        <v/>
      </c>
      <c r="N265" t="str">
        <f>IFERROR(INDEX(xx_matrix[Instructions],MATCH($B265,xx_matrix[command],0)),"")</f>
        <v/>
      </c>
    </row>
    <row r="266" spans="1:14">
      <c r="A266" s="19"/>
      <c r="D266" s="36" t="str">
        <f>IF(ISBLANK(B266),"",IF(ISERROR(MATCH(B266,xx_matrix[command],0)),FALSE,IF(ISTEXT(INDEX(xx_matrix[videoLink],MATCH(B266,xx_matrix[command],0),1)),HYPERLINK(INDEX(xx_matrix[videoLink],MATCH(B266,xx_matrix[command],0),1),"_YES_"),"YES")))</f>
        <v/>
      </c>
      <c r="J266" t="str">
        <f>IFERROR(INDEX(xx_matrix[SrcModel],MATCH($B266,xx_matrix[command],0)),"")</f>
        <v/>
      </c>
      <c r="K266" t="str">
        <f>IFERROR(INDEX(xx_matrix[SrcObject],MATCH($B266,xx_matrix[command],0)),"")</f>
        <v/>
      </c>
      <c r="L266" t="str">
        <f>IFERROR(INDEX(xx_matrix[TgtModel],MATCH($B266,xx_matrix[command],0)),"")</f>
        <v/>
      </c>
      <c r="M266" t="str">
        <f>IFERROR(INDEX(xx_matrix[TgtObject],MATCH($B266,xx_matrix[command],0)),"")</f>
        <v/>
      </c>
      <c r="N266" t="str">
        <f>IFERROR(INDEX(xx_matrix[Instructions],MATCH($B266,xx_matrix[command],0)),"")</f>
        <v/>
      </c>
    </row>
    <row r="267" spans="1:14">
      <c r="A267" s="19"/>
      <c r="D267" s="36" t="str">
        <f>IF(ISBLANK(B267),"",IF(ISERROR(MATCH(B267,xx_matrix[command],0)),FALSE,IF(ISTEXT(INDEX(xx_matrix[videoLink],MATCH(B267,xx_matrix[command],0),1)),HYPERLINK(INDEX(xx_matrix[videoLink],MATCH(B267,xx_matrix[command],0),1),"_YES_"),"YES")))</f>
        <v/>
      </c>
      <c r="J267" t="str">
        <f>IFERROR(INDEX(xx_matrix[SrcModel],MATCH($B267,xx_matrix[command],0)),"")</f>
        <v/>
      </c>
      <c r="K267" t="str">
        <f>IFERROR(INDEX(xx_matrix[SrcObject],MATCH($B267,xx_matrix[command],0)),"")</f>
        <v/>
      </c>
      <c r="L267" t="str">
        <f>IFERROR(INDEX(xx_matrix[TgtModel],MATCH($B267,xx_matrix[command],0)),"")</f>
        <v/>
      </c>
      <c r="M267" t="str">
        <f>IFERROR(INDEX(xx_matrix[TgtObject],MATCH($B267,xx_matrix[command],0)),"")</f>
        <v/>
      </c>
      <c r="N267" t="str">
        <f>IFERROR(INDEX(xx_matrix[Instructions],MATCH($B267,xx_matrix[command],0)),"")</f>
        <v/>
      </c>
    </row>
  </sheetData>
  <mergeCells count="3">
    <mergeCell ref="E3:F3"/>
    <mergeCell ref="G3:H3"/>
    <mergeCell ref="J3:N3"/>
  </mergeCells>
  <conditionalFormatting sqref="A5:A1017">
    <cfRule type="containsText" dxfId="30" priority="20" stopIfTrue="1" operator="containsText" text="//">
      <formula>NOT(ISERROR(SEARCH("//",A5)))</formula>
    </cfRule>
  </conditionalFormatting>
  <conditionalFormatting sqref="D5:D267">
    <cfRule type="cellIs" dxfId="29" priority="5" stopIfTrue="1" operator="equal">
      <formula>"_YES_"</formula>
    </cfRule>
    <cfRule type="cellIs" dxfId="28" priority="7" stopIfTrue="1" operator="equal">
      <formula>FALSE</formula>
    </cfRule>
    <cfRule type="cellIs" dxfId="27" priority="8" stopIfTrue="1" operator="equal">
      <formula>"YES"</formula>
    </cfRule>
    <cfRule type="containsBlanks" dxfId="26" priority="9">
      <formula>LEN(TRIM(D5))=0</formula>
    </cfRule>
  </conditionalFormatting>
  <conditionalFormatting sqref="E5:H267">
    <cfRule type="expression" dxfId="25" priority="1" stopIfTrue="1">
      <formula>IF($D5="NO",TRUE,FALSE)</formula>
    </cfRule>
    <cfRule type="expression" dxfId="24" priority="2" stopIfTrue="1">
      <formula>IF(AND($D5&lt;&gt;"",$D5&lt;&gt;"NO",ISLOGICAL(E5)),TRUE,FALSE)</formula>
    </cfRule>
    <cfRule type="expression" dxfId="23" priority="3" stopIfTrue="1">
      <formula>IF(AND($D5&lt;&gt;"",$D5&lt;&gt;"NO",J5&lt;&gt;0,J5&lt;&gt;""), TRUE,FALSE)</formula>
    </cfRule>
  </conditionalFormatting>
  <conditionalFormatting sqref="J5:N267">
    <cfRule type="cellIs" dxfId="22" priority="4" operator="equal">
      <formula>0</formula>
    </cfRule>
  </conditionalFormatting>
  <dataValidations count="19">
    <dataValidation allowBlank="1" showInputMessage="1" showErrorMessage="1" promptTitle="Nitro-CELL Command" prompt="Get a list of top-level Instances from a specified file and create/update a Batch Sheet" sqref="B26" xr:uid="{F218AD9A-7F8A-4E9C-893D-5CFCF26A562B}"/>
    <dataValidation allowBlank="1" showInputMessage="1" showErrorMessage="1" promptTitle="Nitro-CELL Argument" sqref="G26 E16:F16" xr:uid="{E45345E1-E9C2-4AA2-A1F9-85E3AC9B090F}"/>
    <dataValidation allowBlank="1" showInputMessage="1" showErrorMessage="1" promptTitle="Nitro-CELL Command" prompt="Start a Batch Process using reference table, a target execution sheet and Results Table" sqref="B32" xr:uid="{548E04EB-A2C5-48DB-8633-5AD6A84FE5BC}"/>
    <dataValidation allowBlank="1" showInputMessage="1" showErrorMessage="1" promptTitle="Nitro-CELL Argument" prompt="tgtCell_x000a_ - REG:regVar" sqref="G32" xr:uid="{F0B61806-76DD-49EE-8F44-346E7EE49C77}"/>
    <dataValidation allowBlank="1" showInputMessage="1" showErrorMessage="1" promptTitle="Nitro-CELL Argument" prompt="tgtTblName_x000a_ - tblName_x000a_ - REG:regVar_x000a__x000a_Default Table Cols:_x000a_[itemName, itemRoot, status (success,fail, skipped)]" sqref="H32" xr:uid="{B2468CCF-FA07-402F-9BFD-D556F6645794}"/>
    <dataValidation allowBlank="1" showInputMessage="1" showErrorMessage="1" promptTitle="Nitro-CELL Argument" prompt="tgtWorksheet / REGISTER_x000a_ - REG:regVar" sqref="G16" xr:uid="{4B52E9B7-1A1A-4E01-9487-822370B9496B}"/>
    <dataValidation allowBlank="1" showInputMessage="1" showErrorMessage="1" promptTitle="Nitro-CELL Argument" prompt="tgtCellAddress_x000a_ - regVar_x000a_ - REG:regVar" sqref="H16" xr:uid="{29F606B0-711D-432B-B901-5BB27044AF9B}"/>
    <dataValidation allowBlank="1" showInputMessage="1" showErrorMessage="1" promptTitle="Nitro-CELL Command" prompt="Get the name of the active Model" sqref="B16" xr:uid="{D4C686C8-68AA-43C4-8944-5871D604E52C}"/>
    <dataValidation allowBlank="1" showInputMessage="1" showErrorMessage="1" promptTitle="Nitro-CELL Command" prompt="Create an Excel Table Object" sqref="B29 B19" xr:uid="{CB1AE60F-9CA5-4450-B2E6-573D9D6C2394}"/>
    <dataValidation allowBlank="1" showInputMessage="1" showErrorMessage="1" promptTitle="Nitro-CELL Argument" prompt="Default: &quot;nc_default&quot;_x000a_Arg Options: _x000a_ - col1,col2,col3... (use regional list sep)(opt)_x000a_ - REG:regVar" sqref="F29 F19" xr:uid="{A1BB6625-0EA4-41B9-BD30-E677D77CE41A}"/>
    <dataValidation allowBlank="1" showInputMessage="1" showErrorMessage="1" promptTitle="Nitro-CELL Argument" prompt="tgtWorksheet_x000a_ - REG:regVar" sqref="G29 G19" xr:uid="{EC0C39EC-4A54-4493-AD17-75D60705822C}"/>
    <dataValidation allowBlank="1" showInputMessage="1" showErrorMessage="1" promptTitle="Nitro-CELL Argument" prompt="Default: activeModel_x000a_Arg Options: _x000a_ - model.ext(*)_x000a_ - TBL:tblSrc_x000a_ - REG:regVar_x000a__x000a_Table Cols:_x000a_[itemName*]" sqref="E26" xr:uid="{D74979FA-9FE6-498C-8ED2-C075AD9022CE}"/>
    <dataValidation allowBlank="1" showInputMessage="1" showErrorMessage="1" promptTitle="Nitro-CELL Argument" prompt="Default: allInstances_x000a_Arg Options: _x000a_ - instanceName(opt)(*)_x000a_ - REG:regVar" sqref="F26" xr:uid="{540033BF-AC98-4CDF-B9EE-5D6778F946F5}"/>
    <dataValidation allowBlank="1" showInputMessage="1" showErrorMessage="1" promptTitle="Nitro-CELL Argument" prompt="tblName_x000a_ - tblName_x000a_ - REG:regVar_x000a__x000a_Default Table Cols:_x000a_[itemName, itemRoot,genericName,instName]" sqref="H26" xr:uid="{5D856FBC-E2D4-4E4F-B7B4-B8E0A4369881}"/>
    <dataValidation allowBlank="1" showInputMessage="1" showErrorMessage="1" promptTitle="Nitro-CELL Argument" prompt="tblName_x000a_ - REG:regVar" sqref="E29 E19" xr:uid="{8296634B-8D8E-4186-BA7E-4BC8735DCA7B}"/>
    <dataValidation allowBlank="1" showInputMessage="1" showErrorMessage="1" promptTitle="Nitro-CELL Argument" prompt="TBL:tblName_x000a_ - TBL:tblSrc_x000a_ - REG:regVar_x000a__x000a_Table Cols:_x000a_[itemName*]" sqref="E32" xr:uid="{EC2D2043-B1F2-452D-AE66-98D582D6E76B}"/>
    <dataValidation allowBlank="1" showInputMessage="1" showErrorMessage="1" promptTitle="Nitro-CELL Argument" prompt="execWorksheetName_x000a_ - REG:regVar" sqref="F32" xr:uid="{CF24978F-66DD-4F83-9439-96594020EB2B}"/>
    <dataValidation allowBlank="1" showInputMessage="1" showErrorMessage="1" promptTitle="Nitro-CELL Command" sqref="B2" xr:uid="{9DCB12EC-DEAA-4442-B770-18E09FC73343}"/>
    <dataValidation allowBlank="1" showInputMessage="1" showErrorMessage="1" promptTitle="Nitro-CELL Command" sqref="B3" xr:uid="{C7249498-A297-4F7B-9E15-D2F87769EE73}"/>
  </dataValidations>
  <hyperlinks>
    <hyperlink ref="A1" r:id="rId1" xr:uid="{BE891F3D-9F5F-47E6-AF4A-C7B22FF6F0B6}"/>
    <hyperlink ref="A2" location="NitroCELL_MAIN!A1" display="MAIN" xr:uid="{152B95C8-6260-4D20-B796-517AF63CD997}"/>
    <hyperlink ref="B4" r:id="rId2" xr:uid="{12C8594B-671E-4515-A774-7AB0254C24D9}"/>
  </hyperlinks>
  <pageMargins left="0.7" right="0.7" top="0.75" bottom="0.75" header="0.3" footer="0.3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BADF0-6980-41F3-B9B5-F0EA4B1F9BEC}">
  <sheetPr>
    <tabColor rgb="FF00B0F0"/>
  </sheetPr>
  <dimension ref="A1:H13"/>
  <sheetViews>
    <sheetView workbookViewId="0">
      <selection activeCell="C13" sqref="C13"/>
    </sheetView>
  </sheetViews>
  <sheetFormatPr defaultRowHeight="15"/>
  <cols>
    <col min="1" max="1" width="32.7109375" bestFit="1" customWidth="1"/>
    <col min="2" max="2" width="17.28515625" bestFit="1" customWidth="1"/>
    <col min="3" max="3" width="12.85546875" bestFit="1" customWidth="1"/>
    <col min="4" max="4" width="17.28515625" bestFit="1" customWidth="1"/>
    <col min="6" max="6" width="32.7109375" bestFit="1" customWidth="1"/>
    <col min="7" max="7" width="17.28515625" bestFit="1" customWidth="1"/>
    <col min="8" max="8" width="7.5703125" bestFit="1" customWidth="1"/>
  </cols>
  <sheetData>
    <row r="1" spans="1:8">
      <c r="A1" t="s">
        <v>1329</v>
      </c>
      <c r="B1" s="14" t="s">
        <v>1330</v>
      </c>
      <c r="C1" s="14" t="s">
        <v>1331</v>
      </c>
      <c r="D1" s="14" t="s">
        <v>1332</v>
      </c>
      <c r="F1" t="s">
        <v>1329</v>
      </c>
      <c r="G1" s="14" t="s">
        <v>1330</v>
      </c>
      <c r="H1" t="s">
        <v>1339</v>
      </c>
    </row>
    <row r="2" spans="1:8">
      <c r="A2" t="s">
        <v>1358</v>
      </c>
      <c r="B2" s="14" t="s">
        <v>1359</v>
      </c>
      <c r="C2" s="14" t="s">
        <v>1360</v>
      </c>
      <c r="D2" s="14" t="s">
        <v>1359</v>
      </c>
      <c r="F2" t="s">
        <v>1358</v>
      </c>
      <c r="G2" s="14" t="s">
        <v>1359</v>
      </c>
      <c r="H2" t="s">
        <v>1340</v>
      </c>
    </row>
    <row r="3" spans="1:8">
      <c r="A3" t="s">
        <v>1361</v>
      </c>
      <c r="B3" s="14" t="s">
        <v>1362</v>
      </c>
      <c r="C3" s="14" t="s">
        <v>1360</v>
      </c>
      <c r="D3" s="14" t="s">
        <v>1362</v>
      </c>
      <c r="F3" t="s">
        <v>1361</v>
      </c>
      <c r="G3" s="14" t="s">
        <v>1362</v>
      </c>
      <c r="H3" t="s">
        <v>1340</v>
      </c>
    </row>
    <row r="4" spans="1:8">
      <c r="A4" t="s">
        <v>1363</v>
      </c>
      <c r="B4" s="14" t="s">
        <v>1364</v>
      </c>
      <c r="C4" s="14" t="s">
        <v>1360</v>
      </c>
      <c r="D4" s="14" t="s">
        <v>1364</v>
      </c>
      <c r="F4" t="s">
        <v>1363</v>
      </c>
      <c r="G4" s="14" t="s">
        <v>1364</v>
      </c>
      <c r="H4" t="s">
        <v>1340</v>
      </c>
    </row>
    <row r="5" spans="1:8">
      <c r="A5" t="s">
        <v>1365</v>
      </c>
      <c r="B5" s="14" t="s">
        <v>1366</v>
      </c>
      <c r="C5" s="14" t="s">
        <v>1360</v>
      </c>
      <c r="D5" s="14" t="s">
        <v>1366</v>
      </c>
      <c r="F5" t="s">
        <v>1365</v>
      </c>
      <c r="G5" s="14" t="s">
        <v>1366</v>
      </c>
      <c r="H5" t="s">
        <v>1340</v>
      </c>
    </row>
    <row r="6" spans="1:8">
      <c r="A6" t="s">
        <v>1367</v>
      </c>
      <c r="B6" s="14" t="s">
        <v>1368</v>
      </c>
      <c r="C6" s="14" t="s">
        <v>1360</v>
      </c>
      <c r="D6" s="14" t="s">
        <v>1368</v>
      </c>
      <c r="F6" t="s">
        <v>1367</v>
      </c>
      <c r="G6" s="14" t="s">
        <v>1368</v>
      </c>
      <c r="H6" t="s">
        <v>1340</v>
      </c>
    </row>
    <row r="7" spans="1:8">
      <c r="A7" t="s">
        <v>1369</v>
      </c>
      <c r="B7" s="14" t="s">
        <v>1370</v>
      </c>
      <c r="C7" s="14" t="s">
        <v>1360</v>
      </c>
      <c r="D7" s="14" t="s">
        <v>1370</v>
      </c>
      <c r="F7" t="s">
        <v>1369</v>
      </c>
      <c r="G7" s="14" t="s">
        <v>1370</v>
      </c>
      <c r="H7" t="s">
        <v>1340</v>
      </c>
    </row>
    <row r="8" spans="1:8">
      <c r="A8" t="s">
        <v>1371</v>
      </c>
      <c r="B8" s="14" t="s">
        <v>1372</v>
      </c>
      <c r="C8" s="14" t="s">
        <v>1360</v>
      </c>
      <c r="D8" s="14" t="s">
        <v>1372</v>
      </c>
      <c r="F8" t="s">
        <v>1371</v>
      </c>
      <c r="G8" s="14" t="s">
        <v>1372</v>
      </c>
      <c r="H8" t="s">
        <v>1340</v>
      </c>
    </row>
    <row r="9" spans="1:8">
      <c r="A9" t="s">
        <v>1373</v>
      </c>
      <c r="B9" s="14" t="s">
        <v>1374</v>
      </c>
      <c r="C9" s="14" t="s">
        <v>1360</v>
      </c>
      <c r="D9" s="14" t="s">
        <v>1374</v>
      </c>
      <c r="F9" t="s">
        <v>1373</v>
      </c>
      <c r="G9" s="14" t="s">
        <v>1374</v>
      </c>
      <c r="H9" t="s">
        <v>1340</v>
      </c>
    </row>
    <row r="10" spans="1:8">
      <c r="A10" t="s">
        <v>1375</v>
      </c>
      <c r="B10" s="14" t="s">
        <v>1376</v>
      </c>
      <c r="C10" s="14" t="s">
        <v>1360</v>
      </c>
      <c r="D10" s="14" t="s">
        <v>1376</v>
      </c>
      <c r="F10" t="s">
        <v>1375</v>
      </c>
      <c r="G10" s="14" t="s">
        <v>1376</v>
      </c>
      <c r="H10" t="s">
        <v>1340</v>
      </c>
    </row>
    <row r="11" spans="1:8">
      <c r="A11" t="s">
        <v>1377</v>
      </c>
      <c r="B11" s="14" t="s">
        <v>1378</v>
      </c>
      <c r="C11" s="14" t="s">
        <v>1360</v>
      </c>
      <c r="D11" s="14" t="s">
        <v>1378</v>
      </c>
      <c r="F11" t="s">
        <v>1377</v>
      </c>
      <c r="G11" s="14" t="s">
        <v>1378</v>
      </c>
      <c r="H11" t="s">
        <v>1340</v>
      </c>
    </row>
    <row r="12" spans="1:8">
      <c r="A12" t="s">
        <v>1379</v>
      </c>
      <c r="B12" s="14" t="s">
        <v>1380</v>
      </c>
      <c r="C12" s="14" t="s">
        <v>1360</v>
      </c>
      <c r="D12" s="14" t="s">
        <v>1380</v>
      </c>
      <c r="F12" t="s">
        <v>1379</v>
      </c>
      <c r="G12" s="14" t="s">
        <v>1380</v>
      </c>
      <c r="H12" t="s">
        <v>1340</v>
      </c>
    </row>
    <row r="13" spans="1:8">
      <c r="A13" t="s">
        <v>1381</v>
      </c>
      <c r="B13" s="14" t="s">
        <v>1382</v>
      </c>
      <c r="C13" s="14" t="s">
        <v>1360</v>
      </c>
      <c r="D13" s="14" t="s">
        <v>1382</v>
      </c>
      <c r="F13" t="s">
        <v>1381</v>
      </c>
      <c r="G13" s="14" t="s">
        <v>1382</v>
      </c>
      <c r="H13" t="s">
        <v>1340</v>
      </c>
    </row>
  </sheetData>
  <phoneticPr fontId="17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7F09-3108-49D3-B275-10459B2480A9}">
  <sheetPr>
    <tabColor rgb="FFFFC000"/>
  </sheetPr>
  <dimension ref="A1:N254"/>
  <sheetViews>
    <sheetView workbookViewId="0">
      <pane ySplit="4" topLeftCell="A5" activePane="bottomLeft" state="frozen"/>
      <selection pane="bottomLeft" activeCell="B3" sqref="B3"/>
    </sheetView>
  </sheetViews>
  <sheetFormatPr defaultRowHeight="15"/>
  <cols>
    <col min="1" max="1" width="9.140625" style="15"/>
    <col min="2" max="2" width="45" customWidth="1"/>
    <col min="3" max="3" width="1.7109375" customWidth="1"/>
    <col min="4" max="4" width="19.42578125" style="36" customWidth="1"/>
    <col min="5" max="8" width="23.42578125" customWidth="1"/>
    <col min="9" max="9" width="3.28515625" style="18" customWidth="1"/>
    <col min="10" max="10" width="30" customWidth="1"/>
    <col min="11" max="11" width="25.5703125" customWidth="1"/>
    <col min="12" max="12" width="29" customWidth="1"/>
    <col min="13" max="13" width="25.5703125" customWidth="1"/>
    <col min="14" max="14" width="66" customWidth="1"/>
  </cols>
  <sheetData>
    <row r="1" spans="1:14" s="3" customFormat="1" ht="30">
      <c r="A1" s="17" t="s">
        <v>232</v>
      </c>
      <c r="B1" s="2" t="s">
        <v>245</v>
      </c>
      <c r="D1" s="28"/>
      <c r="I1" s="18"/>
    </row>
    <row r="2" spans="1:14" s="6" customFormat="1">
      <c r="A2" s="16" t="s">
        <v>231</v>
      </c>
      <c r="B2" s="5" t="s">
        <v>1383</v>
      </c>
      <c r="I2" s="27"/>
    </row>
    <row r="3" spans="1:14" s="23" customFormat="1">
      <c r="A3" s="26"/>
      <c r="B3" s="25" t="s">
        <v>244</v>
      </c>
      <c r="C3" s="12"/>
      <c r="D3" s="24" t="s">
        <v>243</v>
      </c>
      <c r="E3" s="45" t="s">
        <v>242</v>
      </c>
      <c r="F3" s="45"/>
      <c r="G3" s="46" t="s">
        <v>241</v>
      </c>
      <c r="H3" s="47"/>
      <c r="I3" s="18"/>
      <c r="J3" s="48" t="s">
        <v>240</v>
      </c>
      <c r="K3" s="49"/>
      <c r="L3" s="49"/>
      <c r="M3" s="49"/>
      <c r="N3" s="50"/>
    </row>
    <row r="4" spans="1:14" s="21" customFormat="1">
      <c r="A4" s="22" t="s">
        <v>228</v>
      </c>
      <c r="B4" s="40" t="s">
        <v>596</v>
      </c>
      <c r="C4" s="12"/>
      <c r="D4" s="12" t="s">
        <v>239</v>
      </c>
      <c r="E4" s="12" t="s">
        <v>238</v>
      </c>
      <c r="F4" s="12" t="s">
        <v>237</v>
      </c>
      <c r="G4" s="12" t="s">
        <v>236</v>
      </c>
      <c r="H4" s="12" t="s">
        <v>235</v>
      </c>
      <c r="I4" s="18"/>
      <c r="J4" s="21" t="s">
        <v>58</v>
      </c>
      <c r="K4" s="21" t="s">
        <v>59</v>
      </c>
      <c r="L4" s="21" t="s">
        <v>60</v>
      </c>
      <c r="M4" s="21" t="s">
        <v>234</v>
      </c>
      <c r="N4" s="21" t="s">
        <v>233</v>
      </c>
    </row>
    <row r="5" spans="1:14">
      <c r="A5" s="19"/>
      <c r="D5" s="36" t="str">
        <f>IF(ISBLANK(B5),"",IF(ISERROR(MATCH(B5,xx_matrix[command],0)),FALSE,IF(ISTEXT(INDEX(xx_matrix[videoLink],MATCH(B5,xx_matrix[command],0),1)),HYPERLINK(INDEX(xx_matrix[videoLink],MATCH(B5,xx_matrix[command],0),1),"_YES_"),"YES")))</f>
        <v/>
      </c>
      <c r="J5" t="str">
        <f>IFERROR(INDEX(xx_matrix[SrcModel],MATCH($B5,xx_matrix[command],0)),"")</f>
        <v/>
      </c>
      <c r="K5" t="str">
        <f>IFERROR(INDEX(xx_matrix[SrcObject],MATCH($B5,xx_matrix[command],0)),"")</f>
        <v/>
      </c>
      <c r="L5" t="str">
        <f>IFERROR(INDEX(xx_matrix[TgtModel],MATCH($B5,xx_matrix[command],0)),"")</f>
        <v/>
      </c>
      <c r="M5" t="str">
        <f>IFERROR(INDEX(xx_matrix[TgtObject],MATCH($B5,xx_matrix[command],0)),"")</f>
        <v/>
      </c>
      <c r="N5" t="str">
        <f>IFERROR(INDEX(xx_matrix[Instructions],MATCH($B5,xx_matrix[command],0)),"")</f>
        <v/>
      </c>
    </row>
    <row r="6" spans="1:14">
      <c r="A6" s="20" t="s">
        <v>1344</v>
      </c>
      <c r="D6" s="36" t="str">
        <f>IF(ISBLANK(B6),"",IF(ISERROR(MATCH(B6,xx_matrix[command],0)),FALSE,IF(ISTEXT(INDEX(xx_matrix[videoLink],MATCH(B6,xx_matrix[command],0),1)),HYPERLINK(INDEX(xx_matrix[videoLink],MATCH(B6,xx_matrix[command],0),1),"_YES_"),"YES")))</f>
        <v/>
      </c>
      <c r="J6" t="str">
        <f>IFERROR(INDEX(xx_matrix[SrcModel],MATCH($B6,xx_matrix[command],0)),"")</f>
        <v/>
      </c>
      <c r="K6" t="str">
        <f>IFERROR(INDEX(xx_matrix[SrcObject],MATCH($B6,xx_matrix[command],0)),"")</f>
        <v/>
      </c>
      <c r="L6" t="str">
        <f>IFERROR(INDEX(xx_matrix[TgtModel],MATCH($B6,xx_matrix[command],0)),"")</f>
        <v/>
      </c>
      <c r="M6" t="str">
        <f>IFERROR(INDEX(xx_matrix[TgtObject],MATCH($B6,xx_matrix[command],0)),"")</f>
        <v/>
      </c>
      <c r="N6" t="str">
        <f>IFERROR(INDEX(xx_matrix[Instructions],MATCH($B6,xx_matrix[command],0)),"")</f>
        <v/>
      </c>
    </row>
    <row r="7" spans="1:14">
      <c r="A7" s="19"/>
      <c r="B7" t="str" cm="1">
        <f t="array" ref="B7">nc_command[application : ERASE_MEMORY]</f>
        <v>application : ERASE_MEMORY</v>
      </c>
      <c r="D7" s="36" t="str">
        <f>IF(ISBLANK(B7),"",IF(ISERROR(MATCH(B7,xx_matrix[command],0)),FALSE,IF(ISTEXT(INDEX(xx_matrix[videoLink],MATCH(B7,xx_matrix[command],0),1)),HYPERLINK(INDEX(xx_matrix[videoLink],MATCH(B7,xx_matrix[command],0),1),"_YES_"),"YES")))</f>
        <v>YES</v>
      </c>
      <c r="J7">
        <f>IFERROR(INDEX(xx_matrix[SrcModel],MATCH($B7,xx_matrix[command],0)),"")</f>
        <v>0</v>
      </c>
      <c r="K7">
        <f>IFERROR(INDEX(xx_matrix[SrcObject],MATCH($B7,xx_matrix[command],0)),"")</f>
        <v>0</v>
      </c>
      <c r="L7">
        <f>IFERROR(INDEX(xx_matrix[TgtModel],MATCH($B7,xx_matrix[command],0)),"")</f>
        <v>0</v>
      </c>
      <c r="M7">
        <f>IFERROR(INDEX(xx_matrix[TgtObject],MATCH($B7,xx_matrix[command],0)),"")</f>
        <v>0</v>
      </c>
      <c r="N7" t="str">
        <f>IFERROR(INDEX(xx_matrix[Instructions],MATCH($B7,xx_matrix[command],0)),"")</f>
        <v>Force Pro/E to Erase Memory (all models)</v>
      </c>
    </row>
    <row r="8" spans="1:14">
      <c r="A8" s="19"/>
      <c r="D8" s="36" t="str">
        <f>IF(ISBLANK(B8),"",IF(ISERROR(MATCH(B8,xx_matrix[command],0)),FALSE,IF(ISTEXT(INDEX(xx_matrix[videoLink],MATCH(B8,xx_matrix[command],0),1)),HYPERLINK(INDEX(xx_matrix[videoLink],MATCH(B8,xx_matrix[command],0),1),"_YES_"),"YES")))</f>
        <v/>
      </c>
      <c r="J8" t="str">
        <f>IFERROR(INDEX(xx_matrix[SrcModel],MATCH($B8,xx_matrix[command],0)),"")</f>
        <v/>
      </c>
      <c r="K8" t="str">
        <f>IFERROR(INDEX(xx_matrix[SrcObject],MATCH($B8,xx_matrix[command],0)),"")</f>
        <v/>
      </c>
      <c r="L8" t="str">
        <f>IFERROR(INDEX(xx_matrix[TgtModel],MATCH($B8,xx_matrix[command],0)),"")</f>
        <v/>
      </c>
      <c r="M8" t="str">
        <f>IFERROR(INDEX(xx_matrix[TgtObject],MATCH($B8,xx_matrix[command],0)),"")</f>
        <v/>
      </c>
      <c r="N8" t="str">
        <f>IFERROR(INDEX(xx_matrix[Instructions],MATCH($B8,xx_matrix[command],0)),"")</f>
        <v/>
      </c>
    </row>
    <row r="9" spans="1:14">
      <c r="A9" s="20" t="s">
        <v>1345</v>
      </c>
      <c r="D9" s="36" t="str">
        <f>IF(ISBLANK(B9),"",IF(ISERROR(MATCH(B9,xx_matrix[command],0)),FALSE,IF(ISTEXT(INDEX(xx_matrix[videoLink],MATCH(B9,xx_matrix[command],0),1)),HYPERLINK(INDEX(xx_matrix[videoLink],MATCH(B9,xx_matrix[command],0),1),"_YES_"),"YES")))</f>
        <v/>
      </c>
      <c r="J9" t="str">
        <f>IFERROR(INDEX(xx_matrix[SrcModel],MATCH($B9,xx_matrix[command],0)),"")</f>
        <v/>
      </c>
      <c r="K9" t="str">
        <f>IFERROR(INDEX(xx_matrix[SrcObject],MATCH($B9,xx_matrix[command],0)),"")</f>
        <v/>
      </c>
      <c r="L9" t="str">
        <f>IFERROR(INDEX(xx_matrix[TgtModel],MATCH($B9,xx_matrix[command],0)),"")</f>
        <v/>
      </c>
      <c r="M9" t="str">
        <f>IFERROR(INDEX(xx_matrix[TgtObject],MATCH($B9,xx_matrix[command],0)),"")</f>
        <v/>
      </c>
      <c r="N9" t="str">
        <f>IFERROR(INDEX(xx_matrix[Instructions],MATCH($B9,xx_matrix[command],0)),"")</f>
        <v/>
      </c>
    </row>
    <row r="10" spans="1:14">
      <c r="A10" s="19"/>
      <c r="B10" t="str" cm="1">
        <f t="array" ref="B10">nc_command[model : OPEN]</f>
        <v>model : OPEN</v>
      </c>
      <c r="D10" s="36" t="str">
        <f>IF(ISBLANK(B10),"",IF(ISERROR(MATCH(B10,xx_matrix[command],0)),FALSE,IF(ISTEXT(INDEX(xx_matrix[videoLink],MATCH(B10,xx_matrix[command],0),1)),HYPERLINK(INDEX(xx_matrix[videoLink],MATCH(B10,xx_matrix[command],0),1),"_YES_"),"YES")))</f>
        <v>_YES_</v>
      </c>
      <c r="E10" t="s">
        <v>1381</v>
      </c>
      <c r="J10" t="str">
        <f>IFERROR(INDEX(xx_matrix[SrcModel],MATCH($B10,xx_matrix[command],0)),"")</f>
        <v>model.ext(*)
 - REG:regVar</v>
      </c>
      <c r="K10">
        <f>IFERROR(INDEX(xx_matrix[SrcObject],MATCH($B10,xx_matrix[command],0)),"")</f>
        <v>0</v>
      </c>
      <c r="L10">
        <f>IFERROR(INDEX(xx_matrix[TgtModel],MATCH($B10,xx_matrix[command],0)),"")</f>
        <v>0</v>
      </c>
      <c r="M10">
        <f>IFERROR(INDEX(xx_matrix[TgtObject],MATCH($B10,xx_matrix[command],0)),"")</f>
        <v>0</v>
      </c>
      <c r="N10" t="str">
        <f>IFERROR(INDEX(xx_matrix[Instructions],MATCH($B10,xx_matrix[command],0)),"")</f>
        <v>Open and Activate a Model from Hard Drive of InSession</v>
      </c>
    </row>
    <row r="11" spans="1:14">
      <c r="A11" s="19"/>
      <c r="D11" s="36" t="str">
        <f>IF(ISBLANK(B11),"",IF(ISERROR(MATCH(B11,xx_matrix[command],0)),FALSE,IF(ISTEXT(INDEX(xx_matrix[videoLink],MATCH(B11,xx_matrix[command],0),1)),HYPERLINK(INDEX(xx_matrix[videoLink],MATCH(B11,xx_matrix[command],0),1),"_YES_"),"YES")))</f>
        <v/>
      </c>
      <c r="J11" t="str">
        <f>IFERROR(INDEX(xx_matrix[SrcModel],MATCH($B11,xx_matrix[command],0)),"")</f>
        <v/>
      </c>
      <c r="K11" t="str">
        <f>IFERROR(INDEX(xx_matrix[SrcObject],MATCH($B11,xx_matrix[command],0)),"")</f>
        <v/>
      </c>
      <c r="L11" t="str">
        <f>IFERROR(INDEX(xx_matrix[TgtModel],MATCH($B11,xx_matrix[command],0)),"")</f>
        <v/>
      </c>
      <c r="M11" t="str">
        <f>IFERROR(INDEX(xx_matrix[TgtObject],MATCH($B11,xx_matrix[command],0)),"")</f>
        <v/>
      </c>
      <c r="N11" t="str">
        <f>IFERROR(INDEX(xx_matrix[Instructions],MATCH($B11,xx_matrix[command],0)),"")</f>
        <v/>
      </c>
    </row>
    <row r="12" spans="1:14">
      <c r="A12" s="20" t="s">
        <v>1346</v>
      </c>
      <c r="D12" s="36" t="str">
        <f>IF(ISBLANK(B12),"",IF(ISERROR(MATCH(B12,xx_matrix[command],0)),FALSE,IF(ISTEXT(INDEX(xx_matrix[videoLink],MATCH(B12,xx_matrix[command],0),1)),HYPERLINK(INDEX(xx_matrix[videoLink],MATCH(B12,xx_matrix[command],0),1),"_YES_"),"YES")))</f>
        <v/>
      </c>
      <c r="J12" t="str">
        <f>IFERROR(INDEX(xx_matrix[SrcModel],MATCH($B12,xx_matrix[command],0)),"")</f>
        <v/>
      </c>
      <c r="K12" t="str">
        <f>IFERROR(INDEX(xx_matrix[SrcObject],MATCH($B12,xx_matrix[command],0)),"")</f>
        <v/>
      </c>
      <c r="L12" t="str">
        <f>IFERROR(INDEX(xx_matrix[TgtModel],MATCH($B12,xx_matrix[command],0)),"")</f>
        <v/>
      </c>
      <c r="M12" t="str">
        <f>IFERROR(INDEX(xx_matrix[TgtObject],MATCH($B12,xx_matrix[command],0)),"")</f>
        <v/>
      </c>
      <c r="N12" t="str">
        <f>IFERROR(INDEX(xx_matrix[Instructions],MATCH($B12,xx_matrix[command],0)),"")</f>
        <v/>
      </c>
    </row>
    <row r="13" spans="1:14">
      <c r="A13" s="19"/>
      <c r="B13" t="str" cm="1">
        <f t="array" ref="B13">nc_command[model : DELETE_FAMILY_TBL]</f>
        <v>model : DELETE_FAMILY_TBL</v>
      </c>
      <c r="D13" s="36" t="str">
        <f>IF(ISBLANK(B13),"",IF(ISERROR(MATCH(B13,xx_matrix[command],0)),FALSE,IF(ISTEXT(INDEX(xx_matrix[videoLink],MATCH(B13,xx_matrix[command],0),1)),HYPERLINK(INDEX(xx_matrix[videoLink],MATCH(B13,xx_matrix[command],0),1),"_YES_"),"YES")))</f>
        <v>_YES_</v>
      </c>
      <c r="E13" t="s">
        <v>1342</v>
      </c>
      <c r="J13" t="str">
        <f>IFERROR(INDEX(xx_matrix[SrcModel],MATCH($B13,xx_matrix[command],0)),"")</f>
        <v>Default: activeModel
Arg Options: 
 - model.ext(*)
 - REG:regVar</v>
      </c>
      <c r="K13">
        <f>IFERROR(INDEX(xx_matrix[SrcObject],MATCH($B13,xx_matrix[command],0)),"")</f>
        <v>0</v>
      </c>
      <c r="L13">
        <f>IFERROR(INDEX(xx_matrix[TgtModel],MATCH($B13,xx_matrix[command],0)),"")</f>
        <v>0</v>
      </c>
      <c r="M13">
        <f>IFERROR(INDEX(xx_matrix[TgtObject],MATCH($B13,xx_matrix[command],0)),"")</f>
        <v>0</v>
      </c>
      <c r="N13" t="str">
        <f>IFERROR(INDEX(xx_matrix[Instructions],MATCH($B13,xx_matrix[command],0)),"")</f>
        <v>Delete a Model's Family Table</v>
      </c>
    </row>
    <row r="14" spans="1:14">
      <c r="A14" s="19"/>
      <c r="D14" s="36" t="str">
        <f>IF(ISBLANK(B14),"",IF(ISERROR(MATCH(B14,xx_matrix[command],0)),FALSE,IF(ISTEXT(INDEX(xx_matrix[videoLink],MATCH(B14,xx_matrix[command],0),1)),HYPERLINK(INDEX(xx_matrix[videoLink],MATCH(B14,xx_matrix[command],0),1),"_YES_"),"YES")))</f>
        <v/>
      </c>
      <c r="J14" t="str">
        <f>IFERROR(INDEX(xx_matrix[SrcModel],MATCH($B14,xx_matrix[command],0)),"")</f>
        <v/>
      </c>
      <c r="K14" t="str">
        <f>IFERROR(INDEX(xx_matrix[SrcObject],MATCH($B14,xx_matrix[command],0)),"")</f>
        <v/>
      </c>
      <c r="L14" t="str">
        <f>IFERROR(INDEX(xx_matrix[TgtModel],MATCH($B14,xx_matrix[command],0)),"")</f>
        <v/>
      </c>
      <c r="M14" t="str">
        <f>IFERROR(INDEX(xx_matrix[TgtObject],MATCH($B14,xx_matrix[command],0)),"")</f>
        <v/>
      </c>
      <c r="N14" t="str">
        <f>IFERROR(INDEX(xx_matrix[Instructions],MATCH($B14,xx_matrix[command],0)),"")</f>
        <v/>
      </c>
    </row>
    <row r="15" spans="1:14">
      <c r="A15" s="20" t="s">
        <v>1348</v>
      </c>
      <c r="D15" s="36" t="str">
        <f>IF(ISBLANK(B15),"",IF(ISERROR(MATCH(B15,xx_matrix[command],0)),FALSE,IF(ISTEXT(INDEX(xx_matrix[videoLink],MATCH(B15,xx_matrix[command],0),1)),HYPERLINK(INDEX(xx_matrix[videoLink],MATCH(B15,xx_matrix[command],0),1),"_YES_"),"YES")))</f>
        <v/>
      </c>
      <c r="J15" t="str">
        <f>IFERROR(INDEX(xx_matrix[SrcModel],MATCH($B15,xx_matrix[command],0)),"")</f>
        <v/>
      </c>
      <c r="K15" t="str">
        <f>IFERROR(INDEX(xx_matrix[SrcObject],MATCH($B15,xx_matrix[command],0)),"")</f>
        <v/>
      </c>
      <c r="L15" t="str">
        <f>IFERROR(INDEX(xx_matrix[TgtModel],MATCH($B15,xx_matrix[command],0)),"")</f>
        <v/>
      </c>
      <c r="M15" t="str">
        <f>IFERROR(INDEX(xx_matrix[TgtObject],MATCH($B15,xx_matrix[command],0)),"")</f>
        <v/>
      </c>
      <c r="N15" t="str">
        <f>IFERROR(INDEX(xx_matrix[Instructions],MATCH($B15,xx_matrix[command],0)),"")</f>
        <v/>
      </c>
    </row>
    <row r="16" spans="1:14">
      <c r="A16" s="19"/>
      <c r="B16" t="str" cm="1">
        <f t="array" ref="B16">nc_command[model : SAVE_TO_RELEASED]</f>
        <v>model : SAVE_TO_RELEASED</v>
      </c>
      <c r="D16" s="36" t="str">
        <f>IF(ISBLANK(B16),"",IF(ISERROR(MATCH(B16,xx_matrix[command],0)),FALSE,IF(ISTEXT(INDEX(xx_matrix[videoLink],MATCH(B16,xx_matrix[command],0),1)),HYPERLINK(INDEX(xx_matrix[videoLink],MATCH(B16,xx_matrix[command],0),1),"_YES_"),"YES")))</f>
        <v>_YES_</v>
      </c>
      <c r="J16" t="str">
        <f>IFERROR(INDEX(xx_matrix[SrcModel],MATCH($B16,xx_matrix[command],0)),"")</f>
        <v>Default: activeModel
Arg Options: 
 - model.ext(*)
 - REG:regVar</v>
      </c>
      <c r="K16">
        <f>IFERROR(INDEX(xx_matrix[SrcObject],MATCH($B16,xx_matrix[command],0)),"")</f>
        <v>0</v>
      </c>
      <c r="L16">
        <f>IFERROR(INDEX(xx_matrix[TgtModel],MATCH($B16,xx_matrix[command],0)),"")</f>
        <v>0</v>
      </c>
      <c r="M16">
        <f>IFERROR(INDEX(xx_matrix[TgtObject],MATCH($B16,xx_matrix[command],0)),"")</f>
        <v>0</v>
      </c>
      <c r="N16" t="str">
        <f>IFERROR(INDEX(xx_matrix[Instructions],MATCH($B16,xx_matrix[command],0)),"")</f>
        <v>Force a Save of a Model to the Release Directory</v>
      </c>
    </row>
    <row r="17" spans="1:14">
      <c r="A17" s="19"/>
      <c r="D17" s="36" t="str">
        <f>IF(ISBLANK(B17),"",IF(ISERROR(MATCH(B17,xx_matrix[command],0)),FALSE,IF(ISTEXT(INDEX(xx_matrix[videoLink],MATCH(B17,xx_matrix[command],0),1)),HYPERLINK(INDEX(xx_matrix[videoLink],MATCH(B17,xx_matrix[command],0),1),"_YES_"),"YES")))</f>
        <v/>
      </c>
      <c r="J17" t="str">
        <f>IFERROR(INDEX(xx_matrix[SrcModel],MATCH($B17,xx_matrix[command],0)),"")</f>
        <v/>
      </c>
      <c r="K17" t="str">
        <f>IFERROR(INDEX(xx_matrix[SrcObject],MATCH($B17,xx_matrix[command],0)),"")</f>
        <v/>
      </c>
      <c r="L17" t="str">
        <f>IFERROR(INDEX(xx_matrix[TgtModel],MATCH($B17,xx_matrix[command],0)),"")</f>
        <v/>
      </c>
      <c r="M17" t="str">
        <f>IFERROR(INDEX(xx_matrix[TgtObject],MATCH($B17,xx_matrix[command],0)),"")</f>
        <v/>
      </c>
      <c r="N17" t="str">
        <f>IFERROR(INDEX(xx_matrix[Instructions],MATCH($B17,xx_matrix[command],0)),"")</f>
        <v/>
      </c>
    </row>
    <row r="18" spans="1:14">
      <c r="A18" s="19"/>
      <c r="D18" s="36" t="str">
        <f>IF(ISBLANK(B18),"",IF(ISERROR(MATCH(B18,xx_matrix[command],0)),FALSE,IF(ISTEXT(INDEX(xx_matrix[videoLink],MATCH(B18,xx_matrix[command],0),1)),HYPERLINK(INDEX(xx_matrix[videoLink],MATCH(B18,xx_matrix[command],0),1),"_YES_"),"YES")))</f>
        <v/>
      </c>
      <c r="J18" t="str">
        <f>IFERROR(INDEX(xx_matrix[SrcModel],MATCH($B18,xx_matrix[command],0)),"")</f>
        <v/>
      </c>
      <c r="K18" t="str">
        <f>IFERROR(INDEX(xx_matrix[SrcObject],MATCH($B18,xx_matrix[command],0)),"")</f>
        <v/>
      </c>
      <c r="L18" t="str">
        <f>IFERROR(INDEX(xx_matrix[TgtModel],MATCH($B18,xx_matrix[command],0)),"")</f>
        <v/>
      </c>
      <c r="M18" t="str">
        <f>IFERROR(INDEX(xx_matrix[TgtObject],MATCH($B18,xx_matrix[command],0)),"")</f>
        <v/>
      </c>
      <c r="N18" t="str">
        <f>IFERROR(INDEX(xx_matrix[Instructions],MATCH($B18,xx_matrix[command],0)),"")</f>
        <v/>
      </c>
    </row>
    <row r="19" spans="1:14">
      <c r="A19" s="19"/>
      <c r="D19" s="36" t="str">
        <f>IF(ISBLANK(B19),"",IF(ISERROR(MATCH(B19,xx_matrix[command],0)),FALSE,IF(ISTEXT(INDEX(xx_matrix[videoLink],MATCH(B19,xx_matrix[command],0),1)),HYPERLINK(INDEX(xx_matrix[videoLink],MATCH(B19,xx_matrix[command],0),1),"_YES_"),"YES")))</f>
        <v/>
      </c>
      <c r="J19" t="str">
        <f>IFERROR(INDEX(xx_matrix[SrcModel],MATCH($B19,xx_matrix[command],0)),"")</f>
        <v/>
      </c>
      <c r="K19" t="str">
        <f>IFERROR(INDEX(xx_matrix[SrcObject],MATCH($B19,xx_matrix[command],0)),"")</f>
        <v/>
      </c>
      <c r="L19" t="str">
        <f>IFERROR(INDEX(xx_matrix[TgtModel],MATCH($B19,xx_matrix[command],0)),"")</f>
        <v/>
      </c>
      <c r="M19" t="str">
        <f>IFERROR(INDEX(xx_matrix[TgtObject],MATCH($B19,xx_matrix[command],0)),"")</f>
        <v/>
      </c>
      <c r="N19" t="str">
        <f>IFERROR(INDEX(xx_matrix[Instructions],MATCH($B19,xx_matrix[command],0)),"")</f>
        <v/>
      </c>
    </row>
    <row r="20" spans="1:14">
      <c r="A20" s="19"/>
      <c r="D20" s="36" t="str">
        <f>IF(ISBLANK(B20),"",IF(ISERROR(MATCH(B20,xx_matrix[command],0)),FALSE,IF(ISTEXT(INDEX(xx_matrix[videoLink],MATCH(B20,xx_matrix[command],0),1)),HYPERLINK(INDEX(xx_matrix[videoLink],MATCH(B20,xx_matrix[command],0),1),"_YES_"),"YES")))</f>
        <v/>
      </c>
      <c r="J20" t="str">
        <f>IFERROR(INDEX(xx_matrix[SrcModel],MATCH($B20,xx_matrix[command],0)),"")</f>
        <v/>
      </c>
      <c r="K20" t="str">
        <f>IFERROR(INDEX(xx_matrix[SrcObject],MATCH($B20,xx_matrix[command],0)),"")</f>
        <v/>
      </c>
      <c r="L20" t="str">
        <f>IFERROR(INDEX(xx_matrix[TgtModel],MATCH($B20,xx_matrix[command],0)),"")</f>
        <v/>
      </c>
      <c r="M20" t="str">
        <f>IFERROR(INDEX(xx_matrix[TgtObject],MATCH($B20,xx_matrix[command],0)),"")</f>
        <v/>
      </c>
      <c r="N20" t="str">
        <f>IFERROR(INDEX(xx_matrix[Instructions],MATCH($B20,xx_matrix[command],0)),"")</f>
        <v/>
      </c>
    </row>
    <row r="21" spans="1:14">
      <c r="A21" s="19"/>
      <c r="D21" s="36" t="str">
        <f>IF(ISBLANK(B21),"",IF(ISERROR(MATCH(B21,xx_matrix[command],0)),FALSE,IF(ISTEXT(INDEX(xx_matrix[videoLink],MATCH(B21,xx_matrix[command],0),1)),HYPERLINK(INDEX(xx_matrix[videoLink],MATCH(B21,xx_matrix[command],0),1),"_YES_"),"YES")))</f>
        <v/>
      </c>
      <c r="J21" t="str">
        <f>IFERROR(INDEX(xx_matrix[SrcModel],MATCH($B21,xx_matrix[command],0)),"")</f>
        <v/>
      </c>
      <c r="K21" t="str">
        <f>IFERROR(INDEX(xx_matrix[SrcObject],MATCH($B21,xx_matrix[command],0)),"")</f>
        <v/>
      </c>
      <c r="L21" t="str">
        <f>IFERROR(INDEX(xx_matrix[TgtModel],MATCH($B21,xx_matrix[command],0)),"")</f>
        <v/>
      </c>
      <c r="M21" t="str">
        <f>IFERROR(INDEX(xx_matrix[TgtObject],MATCH($B21,xx_matrix[command],0)),"")</f>
        <v/>
      </c>
      <c r="N21" t="str">
        <f>IFERROR(INDEX(xx_matrix[Instructions],MATCH($B21,xx_matrix[command],0)),"")</f>
        <v/>
      </c>
    </row>
    <row r="22" spans="1:14">
      <c r="A22" s="19"/>
      <c r="D22" s="36" t="str">
        <f>IF(ISBLANK(B22),"",IF(ISERROR(MATCH(B22,xx_matrix[command],0)),FALSE,IF(ISTEXT(INDEX(xx_matrix[videoLink],MATCH(B22,xx_matrix[command],0),1)),HYPERLINK(INDEX(xx_matrix[videoLink],MATCH(B22,xx_matrix[command],0),1),"_YES_"),"YES")))</f>
        <v/>
      </c>
      <c r="J22" t="str">
        <f>IFERROR(INDEX(xx_matrix[SrcModel],MATCH($B22,xx_matrix[command],0)),"")</f>
        <v/>
      </c>
      <c r="K22" t="str">
        <f>IFERROR(INDEX(xx_matrix[SrcObject],MATCH($B22,xx_matrix[command],0)),"")</f>
        <v/>
      </c>
      <c r="L22" t="str">
        <f>IFERROR(INDEX(xx_matrix[TgtModel],MATCH($B22,xx_matrix[command],0)),"")</f>
        <v/>
      </c>
      <c r="M22" t="str">
        <f>IFERROR(INDEX(xx_matrix[TgtObject],MATCH($B22,xx_matrix[command],0)),"")</f>
        <v/>
      </c>
      <c r="N22" t="str">
        <f>IFERROR(INDEX(xx_matrix[Instructions],MATCH($B22,xx_matrix[command],0)),"")</f>
        <v/>
      </c>
    </row>
    <row r="23" spans="1:14">
      <c r="A23" s="19"/>
      <c r="D23" s="36" t="str">
        <f>IF(ISBLANK(B23),"",IF(ISERROR(MATCH(B23,xx_matrix[command],0)),FALSE,IF(ISTEXT(INDEX(xx_matrix[videoLink],MATCH(B23,xx_matrix[command],0),1)),HYPERLINK(INDEX(xx_matrix[videoLink],MATCH(B23,xx_matrix[command],0),1),"_YES_"),"YES")))</f>
        <v/>
      </c>
      <c r="J23" t="str">
        <f>IFERROR(INDEX(xx_matrix[SrcModel],MATCH($B23,xx_matrix[command],0)),"")</f>
        <v/>
      </c>
      <c r="K23" t="str">
        <f>IFERROR(INDEX(xx_matrix[SrcObject],MATCH($B23,xx_matrix[command],0)),"")</f>
        <v/>
      </c>
      <c r="L23" t="str">
        <f>IFERROR(INDEX(xx_matrix[TgtModel],MATCH($B23,xx_matrix[command],0)),"")</f>
        <v/>
      </c>
      <c r="M23" t="str">
        <f>IFERROR(INDEX(xx_matrix[TgtObject],MATCH($B23,xx_matrix[command],0)),"")</f>
        <v/>
      </c>
      <c r="N23" t="str">
        <f>IFERROR(INDEX(xx_matrix[Instructions],MATCH($B23,xx_matrix[command],0)),"")</f>
        <v/>
      </c>
    </row>
    <row r="24" spans="1:14">
      <c r="A24" s="19"/>
      <c r="D24" s="36" t="str">
        <f>IF(ISBLANK(B24),"",IF(ISERROR(MATCH(B24,xx_matrix[command],0)),FALSE,IF(ISTEXT(INDEX(xx_matrix[videoLink],MATCH(B24,xx_matrix[command],0),1)),HYPERLINK(INDEX(xx_matrix[videoLink],MATCH(B24,xx_matrix[command],0),1),"_YES_"),"YES")))</f>
        <v/>
      </c>
      <c r="J24" t="str">
        <f>IFERROR(INDEX(xx_matrix[SrcModel],MATCH($B24,xx_matrix[command],0)),"")</f>
        <v/>
      </c>
      <c r="K24" t="str">
        <f>IFERROR(INDEX(xx_matrix[SrcObject],MATCH($B24,xx_matrix[command],0)),"")</f>
        <v/>
      </c>
      <c r="L24" t="str">
        <f>IFERROR(INDEX(xx_matrix[TgtModel],MATCH($B24,xx_matrix[command],0)),"")</f>
        <v/>
      </c>
      <c r="M24" t="str">
        <f>IFERROR(INDEX(xx_matrix[TgtObject],MATCH($B24,xx_matrix[command],0)),"")</f>
        <v/>
      </c>
      <c r="N24" t="str">
        <f>IFERROR(INDEX(xx_matrix[Instructions],MATCH($B24,xx_matrix[command],0)),"")</f>
        <v/>
      </c>
    </row>
    <row r="25" spans="1:14">
      <c r="A25" s="19"/>
      <c r="D25" s="36" t="str">
        <f>IF(ISBLANK(B25),"",IF(ISERROR(MATCH(B25,xx_matrix[command],0)),FALSE,IF(ISTEXT(INDEX(xx_matrix[videoLink],MATCH(B25,xx_matrix[command],0),1)),HYPERLINK(INDEX(xx_matrix[videoLink],MATCH(B25,xx_matrix[command],0),1),"_YES_"),"YES")))</f>
        <v/>
      </c>
      <c r="J25" t="str">
        <f>IFERROR(INDEX(xx_matrix[SrcModel],MATCH($B25,xx_matrix[command],0)),"")</f>
        <v/>
      </c>
      <c r="K25" t="str">
        <f>IFERROR(INDEX(xx_matrix[SrcObject],MATCH($B25,xx_matrix[command],0)),"")</f>
        <v/>
      </c>
      <c r="L25" t="str">
        <f>IFERROR(INDEX(xx_matrix[TgtModel],MATCH($B25,xx_matrix[command],0)),"")</f>
        <v/>
      </c>
      <c r="M25" t="str">
        <f>IFERROR(INDEX(xx_matrix[TgtObject],MATCH($B25,xx_matrix[command],0)),"")</f>
        <v/>
      </c>
      <c r="N25" t="str">
        <f>IFERROR(INDEX(xx_matrix[Instructions],MATCH($B25,xx_matrix[command],0)),"")</f>
        <v/>
      </c>
    </row>
    <row r="26" spans="1:14">
      <c r="A26" s="19"/>
      <c r="D26" s="36" t="str">
        <f>IF(ISBLANK(B26),"",IF(ISERROR(MATCH(B26,xx_matrix[command],0)),FALSE,IF(ISTEXT(INDEX(xx_matrix[videoLink],MATCH(B26,xx_matrix[command],0),1)),HYPERLINK(INDEX(xx_matrix[videoLink],MATCH(B26,xx_matrix[command],0),1),"_YES_"),"YES")))</f>
        <v/>
      </c>
      <c r="J26" t="str">
        <f>IFERROR(INDEX(xx_matrix[SrcModel],MATCH($B26,xx_matrix[command],0)),"")</f>
        <v/>
      </c>
      <c r="K26" t="str">
        <f>IFERROR(INDEX(xx_matrix[SrcObject],MATCH($B26,xx_matrix[command],0)),"")</f>
        <v/>
      </c>
      <c r="L26" t="str">
        <f>IFERROR(INDEX(xx_matrix[TgtModel],MATCH($B26,xx_matrix[command],0)),"")</f>
        <v/>
      </c>
      <c r="M26" t="str">
        <f>IFERROR(INDEX(xx_matrix[TgtObject],MATCH($B26,xx_matrix[command],0)),"")</f>
        <v/>
      </c>
      <c r="N26" t="str">
        <f>IFERROR(INDEX(xx_matrix[Instructions],MATCH($B26,xx_matrix[command],0)),"")</f>
        <v/>
      </c>
    </row>
    <row r="27" spans="1:14">
      <c r="A27" s="19"/>
      <c r="D27" s="36" t="str">
        <f>IF(ISBLANK(B27),"",IF(ISERROR(MATCH(B27,xx_matrix[command],0)),FALSE,IF(ISTEXT(INDEX(xx_matrix[videoLink],MATCH(B27,xx_matrix[command],0),1)),HYPERLINK(INDEX(xx_matrix[videoLink],MATCH(B27,xx_matrix[command],0),1),"_YES_"),"YES")))</f>
        <v/>
      </c>
      <c r="J27" t="str">
        <f>IFERROR(INDEX(xx_matrix[SrcModel],MATCH($B27,xx_matrix[command],0)),"")</f>
        <v/>
      </c>
      <c r="K27" t="str">
        <f>IFERROR(INDEX(xx_matrix[SrcObject],MATCH($B27,xx_matrix[command],0)),"")</f>
        <v/>
      </c>
      <c r="L27" t="str">
        <f>IFERROR(INDEX(xx_matrix[TgtModel],MATCH($B27,xx_matrix[command],0)),"")</f>
        <v/>
      </c>
      <c r="M27" t="str">
        <f>IFERROR(INDEX(xx_matrix[TgtObject],MATCH($B27,xx_matrix[command],0)),"")</f>
        <v/>
      </c>
      <c r="N27" t="str">
        <f>IFERROR(INDEX(xx_matrix[Instructions],MATCH($B27,xx_matrix[command],0)),"")</f>
        <v/>
      </c>
    </row>
    <row r="28" spans="1:14">
      <c r="A28" s="19"/>
      <c r="D28" s="36" t="str">
        <f>IF(ISBLANK(B28),"",IF(ISERROR(MATCH(B28,xx_matrix[command],0)),FALSE,IF(ISTEXT(INDEX(xx_matrix[videoLink],MATCH(B28,xx_matrix[command],0),1)),HYPERLINK(INDEX(xx_matrix[videoLink],MATCH(B28,xx_matrix[command],0),1),"_YES_"),"YES")))</f>
        <v/>
      </c>
      <c r="J28" t="str">
        <f>IFERROR(INDEX(xx_matrix[SrcModel],MATCH($B28,xx_matrix[command],0)),"")</f>
        <v/>
      </c>
      <c r="K28" t="str">
        <f>IFERROR(INDEX(xx_matrix[SrcObject],MATCH($B28,xx_matrix[command],0)),"")</f>
        <v/>
      </c>
      <c r="L28" t="str">
        <f>IFERROR(INDEX(xx_matrix[TgtModel],MATCH($B28,xx_matrix[command],0)),"")</f>
        <v/>
      </c>
      <c r="M28" t="str">
        <f>IFERROR(INDEX(xx_matrix[TgtObject],MATCH($B28,xx_matrix[command],0)),"")</f>
        <v/>
      </c>
      <c r="N28" t="str">
        <f>IFERROR(INDEX(xx_matrix[Instructions],MATCH($B28,xx_matrix[command],0)),"")</f>
        <v/>
      </c>
    </row>
    <row r="29" spans="1:14">
      <c r="A29" s="19"/>
      <c r="D29" s="36" t="str">
        <f>IF(ISBLANK(B29),"",IF(ISERROR(MATCH(B29,xx_matrix[command],0)),FALSE,IF(ISTEXT(INDEX(xx_matrix[videoLink],MATCH(B29,xx_matrix[command],0),1)),HYPERLINK(INDEX(xx_matrix[videoLink],MATCH(B29,xx_matrix[command],0),1),"_YES_"),"YES")))</f>
        <v/>
      </c>
      <c r="J29" t="str">
        <f>IFERROR(INDEX(xx_matrix[SrcModel],MATCH($B29,xx_matrix[command],0)),"")</f>
        <v/>
      </c>
      <c r="K29" t="str">
        <f>IFERROR(INDEX(xx_matrix[SrcObject],MATCH($B29,xx_matrix[command],0)),"")</f>
        <v/>
      </c>
      <c r="L29" t="str">
        <f>IFERROR(INDEX(xx_matrix[TgtModel],MATCH($B29,xx_matrix[command],0)),"")</f>
        <v/>
      </c>
      <c r="M29" t="str">
        <f>IFERROR(INDEX(xx_matrix[TgtObject],MATCH($B29,xx_matrix[command],0)),"")</f>
        <v/>
      </c>
      <c r="N29" t="str">
        <f>IFERROR(INDEX(xx_matrix[Instructions],MATCH($B29,xx_matrix[command],0)),"")</f>
        <v/>
      </c>
    </row>
    <row r="30" spans="1:14">
      <c r="A30" s="19"/>
      <c r="D30" s="36" t="str">
        <f>IF(ISBLANK(B30),"",IF(ISERROR(MATCH(B30,xx_matrix[command],0)),FALSE,IF(ISTEXT(INDEX(xx_matrix[videoLink],MATCH(B30,xx_matrix[command],0),1)),HYPERLINK(INDEX(xx_matrix[videoLink],MATCH(B30,xx_matrix[command],0),1),"_YES_"),"YES")))</f>
        <v/>
      </c>
      <c r="J30" t="str">
        <f>IFERROR(INDEX(xx_matrix[SrcModel],MATCH($B30,xx_matrix[command],0)),"")</f>
        <v/>
      </c>
      <c r="K30" t="str">
        <f>IFERROR(INDEX(xx_matrix[SrcObject],MATCH($B30,xx_matrix[command],0)),"")</f>
        <v/>
      </c>
      <c r="L30" t="str">
        <f>IFERROR(INDEX(xx_matrix[TgtModel],MATCH($B30,xx_matrix[command],0)),"")</f>
        <v/>
      </c>
      <c r="M30" t="str">
        <f>IFERROR(INDEX(xx_matrix[TgtObject],MATCH($B30,xx_matrix[command],0)),"")</f>
        <v/>
      </c>
      <c r="N30" t="str">
        <f>IFERROR(INDEX(xx_matrix[Instructions],MATCH($B30,xx_matrix[command],0)),"")</f>
        <v/>
      </c>
    </row>
    <row r="31" spans="1:14">
      <c r="A31" s="19"/>
      <c r="D31" s="36" t="str">
        <f>IF(ISBLANK(B31),"",IF(ISERROR(MATCH(B31,xx_matrix[command],0)),FALSE,IF(ISTEXT(INDEX(xx_matrix[videoLink],MATCH(B31,xx_matrix[command],0),1)),HYPERLINK(INDEX(xx_matrix[videoLink],MATCH(B31,xx_matrix[command],0),1),"_YES_"),"YES")))</f>
        <v/>
      </c>
      <c r="J31" t="str">
        <f>IFERROR(INDEX(xx_matrix[SrcModel],MATCH($B31,xx_matrix[command],0)),"")</f>
        <v/>
      </c>
      <c r="K31" t="str">
        <f>IFERROR(INDEX(xx_matrix[SrcObject],MATCH($B31,xx_matrix[command],0)),"")</f>
        <v/>
      </c>
      <c r="L31" t="str">
        <f>IFERROR(INDEX(xx_matrix[TgtModel],MATCH($B31,xx_matrix[command],0)),"")</f>
        <v/>
      </c>
      <c r="M31" t="str">
        <f>IFERROR(INDEX(xx_matrix[TgtObject],MATCH($B31,xx_matrix[command],0)),"")</f>
        <v/>
      </c>
      <c r="N31" t="str">
        <f>IFERROR(INDEX(xx_matrix[Instructions],MATCH($B31,xx_matrix[command],0)),"")</f>
        <v/>
      </c>
    </row>
    <row r="32" spans="1:14">
      <c r="A32" s="19"/>
      <c r="D32" s="36" t="str">
        <f>IF(ISBLANK(B32),"",IF(ISERROR(MATCH(B32,xx_matrix[command],0)),FALSE,IF(ISTEXT(INDEX(xx_matrix[videoLink],MATCH(B32,xx_matrix[command],0),1)),HYPERLINK(INDEX(xx_matrix[videoLink],MATCH(B32,xx_matrix[command],0),1),"_YES_"),"YES")))</f>
        <v/>
      </c>
      <c r="J32" t="str">
        <f>IFERROR(INDEX(xx_matrix[SrcModel],MATCH($B32,xx_matrix[command],0)),"")</f>
        <v/>
      </c>
      <c r="K32" t="str">
        <f>IFERROR(INDEX(xx_matrix[SrcObject],MATCH($B32,xx_matrix[command],0)),"")</f>
        <v/>
      </c>
      <c r="L32" t="str">
        <f>IFERROR(INDEX(xx_matrix[TgtModel],MATCH($B32,xx_matrix[command],0)),"")</f>
        <v/>
      </c>
      <c r="M32" t="str">
        <f>IFERROR(INDEX(xx_matrix[TgtObject],MATCH($B32,xx_matrix[command],0)),"")</f>
        <v/>
      </c>
      <c r="N32" t="str">
        <f>IFERROR(INDEX(xx_matrix[Instructions],MATCH($B32,xx_matrix[command],0)),"")</f>
        <v/>
      </c>
    </row>
    <row r="33" spans="1:14">
      <c r="A33" s="19"/>
      <c r="D33" s="36" t="str">
        <f>IF(ISBLANK(B33),"",IF(ISERROR(MATCH(B33,xx_matrix[command],0)),FALSE,IF(ISTEXT(INDEX(xx_matrix[videoLink],MATCH(B33,xx_matrix[command],0),1)),HYPERLINK(INDEX(xx_matrix[videoLink],MATCH(B33,xx_matrix[command],0),1),"_YES_"),"YES")))</f>
        <v/>
      </c>
      <c r="J33" t="str">
        <f>IFERROR(INDEX(xx_matrix[SrcModel],MATCH($B33,xx_matrix[command],0)),"")</f>
        <v/>
      </c>
      <c r="K33" t="str">
        <f>IFERROR(INDEX(xx_matrix[SrcObject],MATCH($B33,xx_matrix[command],0)),"")</f>
        <v/>
      </c>
      <c r="L33" t="str">
        <f>IFERROR(INDEX(xx_matrix[TgtModel],MATCH($B33,xx_matrix[command],0)),"")</f>
        <v/>
      </c>
      <c r="M33" t="str">
        <f>IFERROR(INDEX(xx_matrix[TgtObject],MATCH($B33,xx_matrix[command],0)),"")</f>
        <v/>
      </c>
      <c r="N33" t="str">
        <f>IFERROR(INDEX(xx_matrix[Instructions],MATCH($B33,xx_matrix[command],0)),"")</f>
        <v/>
      </c>
    </row>
    <row r="34" spans="1:14">
      <c r="A34" s="19"/>
      <c r="D34" s="36" t="str">
        <f>IF(ISBLANK(B34),"",IF(ISERROR(MATCH(B34,xx_matrix[command],0)),FALSE,IF(ISTEXT(INDEX(xx_matrix[videoLink],MATCH(B34,xx_matrix[command],0),1)),HYPERLINK(INDEX(xx_matrix[videoLink],MATCH(B34,xx_matrix[command],0),1),"_YES_"),"YES")))</f>
        <v/>
      </c>
      <c r="J34" t="str">
        <f>IFERROR(INDEX(xx_matrix[SrcModel],MATCH($B34,xx_matrix[command],0)),"")</f>
        <v/>
      </c>
      <c r="K34" t="str">
        <f>IFERROR(INDEX(xx_matrix[SrcObject],MATCH($B34,xx_matrix[command],0)),"")</f>
        <v/>
      </c>
      <c r="L34" t="str">
        <f>IFERROR(INDEX(xx_matrix[TgtModel],MATCH($B34,xx_matrix[command],0)),"")</f>
        <v/>
      </c>
      <c r="M34" t="str">
        <f>IFERROR(INDEX(xx_matrix[TgtObject],MATCH($B34,xx_matrix[command],0)),"")</f>
        <v/>
      </c>
      <c r="N34" t="str">
        <f>IFERROR(INDEX(xx_matrix[Instructions],MATCH($B34,xx_matrix[command],0)),"")</f>
        <v/>
      </c>
    </row>
    <row r="35" spans="1:14">
      <c r="A35" s="19"/>
      <c r="D35" s="36" t="str">
        <f>IF(ISBLANK(B35),"",IF(ISERROR(MATCH(B35,xx_matrix[command],0)),FALSE,IF(ISTEXT(INDEX(xx_matrix[videoLink],MATCH(B35,xx_matrix[command],0),1)),HYPERLINK(INDEX(xx_matrix[videoLink],MATCH(B35,xx_matrix[command],0),1),"_YES_"),"YES")))</f>
        <v/>
      </c>
      <c r="J35" t="str">
        <f>IFERROR(INDEX(xx_matrix[SrcModel],MATCH($B35,xx_matrix[command],0)),"")</f>
        <v/>
      </c>
      <c r="K35" t="str">
        <f>IFERROR(INDEX(xx_matrix[SrcObject],MATCH($B35,xx_matrix[command],0)),"")</f>
        <v/>
      </c>
      <c r="L35" t="str">
        <f>IFERROR(INDEX(xx_matrix[TgtModel],MATCH($B35,xx_matrix[command],0)),"")</f>
        <v/>
      </c>
      <c r="M35" t="str">
        <f>IFERROR(INDEX(xx_matrix[TgtObject],MATCH($B35,xx_matrix[command],0)),"")</f>
        <v/>
      </c>
      <c r="N35" t="str">
        <f>IFERROR(INDEX(xx_matrix[Instructions],MATCH($B35,xx_matrix[command],0)),"")</f>
        <v/>
      </c>
    </row>
    <row r="36" spans="1:14">
      <c r="A36" s="19"/>
      <c r="D36" s="36" t="str">
        <f>IF(ISBLANK(B36),"",IF(ISERROR(MATCH(B36,xx_matrix[command],0)),FALSE,IF(ISTEXT(INDEX(xx_matrix[videoLink],MATCH(B36,xx_matrix[command],0),1)),HYPERLINK(INDEX(xx_matrix[videoLink],MATCH(B36,xx_matrix[command],0),1),"_YES_"),"YES")))</f>
        <v/>
      </c>
      <c r="J36" t="str">
        <f>IFERROR(INDEX(xx_matrix[SrcModel],MATCH($B36,xx_matrix[command],0)),"")</f>
        <v/>
      </c>
      <c r="K36" t="str">
        <f>IFERROR(INDEX(xx_matrix[SrcObject],MATCH($B36,xx_matrix[command],0)),"")</f>
        <v/>
      </c>
      <c r="L36" t="str">
        <f>IFERROR(INDEX(xx_matrix[TgtModel],MATCH($B36,xx_matrix[command],0)),"")</f>
        <v/>
      </c>
      <c r="M36" t="str">
        <f>IFERROR(INDEX(xx_matrix[TgtObject],MATCH($B36,xx_matrix[command],0)),"")</f>
        <v/>
      </c>
      <c r="N36" t="str">
        <f>IFERROR(INDEX(xx_matrix[Instructions],MATCH($B36,xx_matrix[command],0)),"")</f>
        <v/>
      </c>
    </row>
    <row r="37" spans="1:14">
      <c r="A37" s="19"/>
      <c r="D37" s="36" t="str">
        <f>IF(ISBLANK(B37),"",IF(ISERROR(MATCH(B37,xx_matrix[command],0)),FALSE,IF(ISTEXT(INDEX(xx_matrix[videoLink],MATCH(B37,xx_matrix[command],0),1)),HYPERLINK(INDEX(xx_matrix[videoLink],MATCH(B37,xx_matrix[command],0),1),"_YES_"),"YES")))</f>
        <v/>
      </c>
      <c r="J37" t="str">
        <f>IFERROR(INDEX(xx_matrix[SrcModel],MATCH($B37,xx_matrix[command],0)),"")</f>
        <v/>
      </c>
      <c r="K37" t="str">
        <f>IFERROR(INDEX(xx_matrix[SrcObject],MATCH($B37,xx_matrix[command],0)),"")</f>
        <v/>
      </c>
      <c r="L37" t="str">
        <f>IFERROR(INDEX(xx_matrix[TgtModel],MATCH($B37,xx_matrix[command],0)),"")</f>
        <v/>
      </c>
      <c r="M37" t="str">
        <f>IFERROR(INDEX(xx_matrix[TgtObject],MATCH($B37,xx_matrix[command],0)),"")</f>
        <v/>
      </c>
      <c r="N37" t="str">
        <f>IFERROR(INDEX(xx_matrix[Instructions],MATCH($B37,xx_matrix[command],0)),"")</f>
        <v/>
      </c>
    </row>
    <row r="38" spans="1:14">
      <c r="A38" s="19"/>
      <c r="D38" s="36" t="str">
        <f>IF(ISBLANK(B38),"",IF(ISERROR(MATCH(B38,xx_matrix[command],0)),FALSE,IF(ISTEXT(INDEX(xx_matrix[videoLink],MATCH(B38,xx_matrix[command],0),1)),HYPERLINK(INDEX(xx_matrix[videoLink],MATCH(B38,xx_matrix[command],0),1),"_YES_"),"YES")))</f>
        <v/>
      </c>
      <c r="J38" t="str">
        <f>IFERROR(INDEX(xx_matrix[SrcModel],MATCH($B38,xx_matrix[command],0)),"")</f>
        <v/>
      </c>
      <c r="K38" t="str">
        <f>IFERROR(INDEX(xx_matrix[SrcObject],MATCH($B38,xx_matrix[command],0)),"")</f>
        <v/>
      </c>
      <c r="L38" t="str">
        <f>IFERROR(INDEX(xx_matrix[TgtModel],MATCH($B38,xx_matrix[command],0)),"")</f>
        <v/>
      </c>
      <c r="M38" t="str">
        <f>IFERROR(INDEX(xx_matrix[TgtObject],MATCH($B38,xx_matrix[command],0)),"")</f>
        <v/>
      </c>
      <c r="N38" t="str">
        <f>IFERROR(INDEX(xx_matrix[Instructions],MATCH($B38,xx_matrix[command],0)),"")</f>
        <v/>
      </c>
    </row>
    <row r="39" spans="1:14">
      <c r="A39" s="19"/>
      <c r="D39" s="36" t="str">
        <f>IF(ISBLANK(B39),"",IF(ISERROR(MATCH(B39,xx_matrix[command],0)),FALSE,IF(ISTEXT(INDEX(xx_matrix[videoLink],MATCH(B39,xx_matrix[command],0),1)),HYPERLINK(INDEX(xx_matrix[videoLink],MATCH(B39,xx_matrix[command],0),1),"_YES_"),"YES")))</f>
        <v/>
      </c>
      <c r="J39" t="str">
        <f>IFERROR(INDEX(xx_matrix[SrcModel],MATCH($B39,xx_matrix[command],0)),"")</f>
        <v/>
      </c>
      <c r="K39" t="str">
        <f>IFERROR(INDEX(xx_matrix[SrcObject],MATCH($B39,xx_matrix[command],0)),"")</f>
        <v/>
      </c>
      <c r="L39" t="str">
        <f>IFERROR(INDEX(xx_matrix[TgtModel],MATCH($B39,xx_matrix[command],0)),"")</f>
        <v/>
      </c>
      <c r="M39" t="str">
        <f>IFERROR(INDEX(xx_matrix[TgtObject],MATCH($B39,xx_matrix[command],0)),"")</f>
        <v/>
      </c>
      <c r="N39" t="str">
        <f>IFERROR(INDEX(xx_matrix[Instructions],MATCH($B39,xx_matrix[command],0)),"")</f>
        <v/>
      </c>
    </row>
    <row r="40" spans="1:14">
      <c r="A40" s="19"/>
      <c r="D40" s="36" t="str">
        <f>IF(ISBLANK(B40),"",IF(ISERROR(MATCH(B40,xx_matrix[command],0)),FALSE,IF(ISTEXT(INDEX(xx_matrix[videoLink],MATCH(B40,xx_matrix[command],0),1)),HYPERLINK(INDEX(xx_matrix[videoLink],MATCH(B40,xx_matrix[command],0),1),"_YES_"),"YES")))</f>
        <v/>
      </c>
      <c r="J40" t="str">
        <f>IFERROR(INDEX(xx_matrix[SrcModel],MATCH($B40,xx_matrix[command],0)),"")</f>
        <v/>
      </c>
      <c r="K40" t="str">
        <f>IFERROR(INDEX(xx_matrix[SrcObject],MATCH($B40,xx_matrix[command],0)),"")</f>
        <v/>
      </c>
      <c r="L40" t="str">
        <f>IFERROR(INDEX(xx_matrix[TgtModel],MATCH($B40,xx_matrix[command],0)),"")</f>
        <v/>
      </c>
      <c r="M40" t="str">
        <f>IFERROR(INDEX(xx_matrix[TgtObject],MATCH($B40,xx_matrix[command],0)),"")</f>
        <v/>
      </c>
      <c r="N40" t="str">
        <f>IFERROR(INDEX(xx_matrix[Instructions],MATCH($B40,xx_matrix[command],0)),"")</f>
        <v/>
      </c>
    </row>
    <row r="41" spans="1:14">
      <c r="A41" s="19"/>
      <c r="D41" s="36" t="str">
        <f>IF(ISBLANK(B41),"",IF(ISERROR(MATCH(B41,xx_matrix[command],0)),FALSE,IF(ISTEXT(INDEX(xx_matrix[videoLink],MATCH(B41,xx_matrix[command],0),1)),HYPERLINK(INDEX(xx_matrix[videoLink],MATCH(B41,xx_matrix[command],0),1),"_YES_"),"YES")))</f>
        <v/>
      </c>
      <c r="J41" t="str">
        <f>IFERROR(INDEX(xx_matrix[SrcModel],MATCH($B41,xx_matrix[command],0)),"")</f>
        <v/>
      </c>
      <c r="K41" t="str">
        <f>IFERROR(INDEX(xx_matrix[SrcObject],MATCH($B41,xx_matrix[command],0)),"")</f>
        <v/>
      </c>
      <c r="L41" t="str">
        <f>IFERROR(INDEX(xx_matrix[TgtModel],MATCH($B41,xx_matrix[command],0)),"")</f>
        <v/>
      </c>
      <c r="M41" t="str">
        <f>IFERROR(INDEX(xx_matrix[TgtObject],MATCH($B41,xx_matrix[command],0)),"")</f>
        <v/>
      </c>
      <c r="N41" t="str">
        <f>IFERROR(INDEX(xx_matrix[Instructions],MATCH($B41,xx_matrix[command],0)),"")</f>
        <v/>
      </c>
    </row>
    <row r="42" spans="1:14">
      <c r="A42" s="19"/>
      <c r="D42" s="36" t="str">
        <f>IF(ISBLANK(B42),"",IF(ISERROR(MATCH(B42,xx_matrix[command],0)),FALSE,IF(ISTEXT(INDEX(xx_matrix[videoLink],MATCH(B42,xx_matrix[command],0),1)),HYPERLINK(INDEX(xx_matrix[videoLink],MATCH(B42,xx_matrix[command],0),1),"_YES_"),"YES")))</f>
        <v/>
      </c>
      <c r="J42" t="str">
        <f>IFERROR(INDEX(xx_matrix[SrcModel],MATCH($B42,xx_matrix[command],0)),"")</f>
        <v/>
      </c>
      <c r="K42" t="str">
        <f>IFERROR(INDEX(xx_matrix[SrcObject],MATCH($B42,xx_matrix[command],0)),"")</f>
        <v/>
      </c>
      <c r="L42" t="str">
        <f>IFERROR(INDEX(xx_matrix[TgtModel],MATCH($B42,xx_matrix[command],0)),"")</f>
        <v/>
      </c>
      <c r="M42" t="str">
        <f>IFERROR(INDEX(xx_matrix[TgtObject],MATCH($B42,xx_matrix[command],0)),"")</f>
        <v/>
      </c>
      <c r="N42" t="str">
        <f>IFERROR(INDEX(xx_matrix[Instructions],MATCH($B42,xx_matrix[command],0)),"")</f>
        <v/>
      </c>
    </row>
    <row r="43" spans="1:14">
      <c r="A43" s="19"/>
      <c r="D43" s="36" t="str">
        <f>IF(ISBLANK(B43),"",IF(ISERROR(MATCH(B43,xx_matrix[command],0)),FALSE,IF(ISTEXT(INDEX(xx_matrix[videoLink],MATCH(B43,xx_matrix[command],0),1)),HYPERLINK(INDEX(xx_matrix[videoLink],MATCH(B43,xx_matrix[command],0),1),"_YES_"),"YES")))</f>
        <v/>
      </c>
      <c r="J43" t="str">
        <f>IFERROR(INDEX(xx_matrix[SrcModel],MATCH($B43,xx_matrix[command],0)),"")</f>
        <v/>
      </c>
      <c r="K43" t="str">
        <f>IFERROR(INDEX(xx_matrix[SrcObject],MATCH($B43,xx_matrix[command],0)),"")</f>
        <v/>
      </c>
      <c r="L43" t="str">
        <f>IFERROR(INDEX(xx_matrix[TgtModel],MATCH($B43,xx_matrix[command],0)),"")</f>
        <v/>
      </c>
      <c r="M43" t="str">
        <f>IFERROR(INDEX(xx_matrix[TgtObject],MATCH($B43,xx_matrix[command],0)),"")</f>
        <v/>
      </c>
      <c r="N43" t="str">
        <f>IFERROR(INDEX(xx_matrix[Instructions],MATCH($B43,xx_matrix[command],0)),"")</f>
        <v/>
      </c>
    </row>
    <row r="44" spans="1:14">
      <c r="A44" s="19"/>
      <c r="D44" s="36" t="str">
        <f>IF(ISBLANK(B44),"",IF(ISERROR(MATCH(B44,xx_matrix[command],0)),FALSE,IF(ISTEXT(INDEX(xx_matrix[videoLink],MATCH(B44,xx_matrix[command],0),1)),HYPERLINK(INDEX(xx_matrix[videoLink],MATCH(B44,xx_matrix[command],0),1),"_YES_"),"YES")))</f>
        <v/>
      </c>
      <c r="J44" t="str">
        <f>IFERROR(INDEX(xx_matrix[SrcModel],MATCH($B44,xx_matrix[command],0)),"")</f>
        <v/>
      </c>
      <c r="K44" t="str">
        <f>IFERROR(INDEX(xx_matrix[SrcObject],MATCH($B44,xx_matrix[command],0)),"")</f>
        <v/>
      </c>
      <c r="L44" t="str">
        <f>IFERROR(INDEX(xx_matrix[TgtModel],MATCH($B44,xx_matrix[command],0)),"")</f>
        <v/>
      </c>
      <c r="M44" t="str">
        <f>IFERROR(INDEX(xx_matrix[TgtObject],MATCH($B44,xx_matrix[command],0)),"")</f>
        <v/>
      </c>
      <c r="N44" t="str">
        <f>IFERROR(INDEX(xx_matrix[Instructions],MATCH($B44,xx_matrix[command],0)),"")</f>
        <v/>
      </c>
    </row>
    <row r="45" spans="1:14">
      <c r="A45" s="19"/>
      <c r="D45" s="36" t="str">
        <f>IF(ISBLANK(B45),"",IF(ISERROR(MATCH(B45,xx_matrix[command],0)),FALSE,IF(ISTEXT(INDEX(xx_matrix[videoLink],MATCH(B45,xx_matrix[command],0),1)),HYPERLINK(INDEX(xx_matrix[videoLink],MATCH(B45,xx_matrix[command],0),1),"_YES_"),"YES")))</f>
        <v/>
      </c>
      <c r="J45" t="str">
        <f>IFERROR(INDEX(xx_matrix[SrcModel],MATCH($B45,xx_matrix[command],0)),"")</f>
        <v/>
      </c>
      <c r="K45" t="str">
        <f>IFERROR(INDEX(xx_matrix[SrcObject],MATCH($B45,xx_matrix[command],0)),"")</f>
        <v/>
      </c>
      <c r="L45" t="str">
        <f>IFERROR(INDEX(xx_matrix[TgtModel],MATCH($B45,xx_matrix[command],0)),"")</f>
        <v/>
      </c>
      <c r="M45" t="str">
        <f>IFERROR(INDEX(xx_matrix[TgtObject],MATCH($B45,xx_matrix[command],0)),"")</f>
        <v/>
      </c>
      <c r="N45" t="str">
        <f>IFERROR(INDEX(xx_matrix[Instructions],MATCH($B45,xx_matrix[command],0)),"")</f>
        <v/>
      </c>
    </row>
    <row r="46" spans="1:14">
      <c r="A46" s="19"/>
      <c r="D46" s="36" t="str">
        <f>IF(ISBLANK(B46),"",IF(ISERROR(MATCH(B46,xx_matrix[command],0)),FALSE,IF(ISTEXT(INDEX(xx_matrix[videoLink],MATCH(B46,xx_matrix[command],0),1)),HYPERLINK(INDEX(xx_matrix[videoLink],MATCH(B46,xx_matrix[command],0),1),"_YES_"),"YES")))</f>
        <v/>
      </c>
      <c r="J46" t="str">
        <f>IFERROR(INDEX(xx_matrix[SrcModel],MATCH($B46,xx_matrix[command],0)),"")</f>
        <v/>
      </c>
      <c r="K46" t="str">
        <f>IFERROR(INDEX(xx_matrix[SrcObject],MATCH($B46,xx_matrix[command],0)),"")</f>
        <v/>
      </c>
      <c r="L46" t="str">
        <f>IFERROR(INDEX(xx_matrix[TgtModel],MATCH($B46,xx_matrix[command],0)),"")</f>
        <v/>
      </c>
      <c r="M46" t="str">
        <f>IFERROR(INDEX(xx_matrix[TgtObject],MATCH($B46,xx_matrix[command],0)),"")</f>
        <v/>
      </c>
      <c r="N46" t="str">
        <f>IFERROR(INDEX(xx_matrix[Instructions],MATCH($B46,xx_matrix[command],0)),"")</f>
        <v/>
      </c>
    </row>
    <row r="47" spans="1:14">
      <c r="A47" s="19"/>
      <c r="D47" s="36" t="str">
        <f>IF(ISBLANK(B47),"",IF(ISERROR(MATCH(B47,xx_matrix[command],0)),FALSE,IF(ISTEXT(INDEX(xx_matrix[videoLink],MATCH(B47,xx_matrix[command],0),1)),HYPERLINK(INDEX(xx_matrix[videoLink],MATCH(B47,xx_matrix[command],0),1),"_YES_"),"YES")))</f>
        <v/>
      </c>
      <c r="J47" t="str">
        <f>IFERROR(INDEX(xx_matrix[SrcModel],MATCH($B47,xx_matrix[command],0)),"")</f>
        <v/>
      </c>
      <c r="K47" t="str">
        <f>IFERROR(INDEX(xx_matrix[SrcObject],MATCH($B47,xx_matrix[command],0)),"")</f>
        <v/>
      </c>
      <c r="L47" t="str">
        <f>IFERROR(INDEX(xx_matrix[TgtModel],MATCH($B47,xx_matrix[command],0)),"")</f>
        <v/>
      </c>
      <c r="M47" t="str">
        <f>IFERROR(INDEX(xx_matrix[TgtObject],MATCH($B47,xx_matrix[command],0)),"")</f>
        <v/>
      </c>
      <c r="N47" t="str">
        <f>IFERROR(INDEX(xx_matrix[Instructions],MATCH($B47,xx_matrix[command],0)),"")</f>
        <v/>
      </c>
    </row>
    <row r="48" spans="1:14">
      <c r="A48" s="19"/>
      <c r="D48" s="36" t="str">
        <f>IF(ISBLANK(B48),"",IF(ISERROR(MATCH(B48,xx_matrix[command],0)),FALSE,IF(ISTEXT(INDEX(xx_matrix[videoLink],MATCH(B48,xx_matrix[command],0),1)),HYPERLINK(INDEX(xx_matrix[videoLink],MATCH(B48,xx_matrix[command],0),1),"_YES_"),"YES")))</f>
        <v/>
      </c>
      <c r="J48" t="str">
        <f>IFERROR(INDEX(xx_matrix[SrcModel],MATCH($B48,xx_matrix[command],0)),"")</f>
        <v/>
      </c>
      <c r="K48" t="str">
        <f>IFERROR(INDEX(xx_matrix[SrcObject],MATCH($B48,xx_matrix[command],0)),"")</f>
        <v/>
      </c>
      <c r="L48" t="str">
        <f>IFERROR(INDEX(xx_matrix[TgtModel],MATCH($B48,xx_matrix[command],0)),"")</f>
        <v/>
      </c>
      <c r="M48" t="str">
        <f>IFERROR(INDEX(xx_matrix[TgtObject],MATCH($B48,xx_matrix[command],0)),"")</f>
        <v/>
      </c>
      <c r="N48" t="str">
        <f>IFERROR(INDEX(xx_matrix[Instructions],MATCH($B48,xx_matrix[command],0)),"")</f>
        <v/>
      </c>
    </row>
    <row r="49" spans="1:14">
      <c r="A49" s="19"/>
      <c r="D49" s="36" t="str">
        <f>IF(ISBLANK(B49),"",IF(ISERROR(MATCH(B49,xx_matrix[command],0)),FALSE,IF(ISTEXT(INDEX(xx_matrix[videoLink],MATCH(B49,xx_matrix[command],0),1)),HYPERLINK(INDEX(xx_matrix[videoLink],MATCH(B49,xx_matrix[command],0),1),"_YES_"),"YES")))</f>
        <v/>
      </c>
      <c r="J49" t="str">
        <f>IFERROR(INDEX(xx_matrix[SrcModel],MATCH($B49,xx_matrix[command],0)),"")</f>
        <v/>
      </c>
      <c r="K49" t="str">
        <f>IFERROR(INDEX(xx_matrix[SrcObject],MATCH($B49,xx_matrix[command],0)),"")</f>
        <v/>
      </c>
      <c r="L49" t="str">
        <f>IFERROR(INDEX(xx_matrix[TgtModel],MATCH($B49,xx_matrix[command],0)),"")</f>
        <v/>
      </c>
      <c r="M49" t="str">
        <f>IFERROR(INDEX(xx_matrix[TgtObject],MATCH($B49,xx_matrix[command],0)),"")</f>
        <v/>
      </c>
      <c r="N49" t="str">
        <f>IFERROR(INDEX(xx_matrix[Instructions],MATCH($B49,xx_matrix[command],0)),"")</f>
        <v/>
      </c>
    </row>
    <row r="50" spans="1:14">
      <c r="A50" s="19"/>
      <c r="D50" s="36" t="str">
        <f>IF(ISBLANK(B50),"",IF(ISERROR(MATCH(B50,xx_matrix[command],0)),FALSE,IF(ISTEXT(INDEX(xx_matrix[videoLink],MATCH(B50,xx_matrix[command],0),1)),HYPERLINK(INDEX(xx_matrix[videoLink],MATCH(B50,xx_matrix[command],0),1),"_YES_"),"YES")))</f>
        <v/>
      </c>
      <c r="J50" t="str">
        <f>IFERROR(INDEX(xx_matrix[SrcModel],MATCH($B50,xx_matrix[command],0)),"")</f>
        <v/>
      </c>
      <c r="K50" t="str">
        <f>IFERROR(INDEX(xx_matrix[SrcObject],MATCH($B50,xx_matrix[command],0)),"")</f>
        <v/>
      </c>
      <c r="L50" t="str">
        <f>IFERROR(INDEX(xx_matrix[TgtModel],MATCH($B50,xx_matrix[command],0)),"")</f>
        <v/>
      </c>
      <c r="M50" t="str">
        <f>IFERROR(INDEX(xx_matrix[TgtObject],MATCH($B50,xx_matrix[command],0)),"")</f>
        <v/>
      </c>
      <c r="N50" t="str">
        <f>IFERROR(INDEX(xx_matrix[Instructions],MATCH($B50,xx_matrix[command],0)),"")</f>
        <v/>
      </c>
    </row>
    <row r="51" spans="1:14">
      <c r="A51" s="19"/>
      <c r="D51" s="36" t="str">
        <f>IF(ISBLANK(B51),"",IF(ISERROR(MATCH(B51,xx_matrix[command],0)),FALSE,IF(ISTEXT(INDEX(xx_matrix[videoLink],MATCH(B51,xx_matrix[command],0),1)),HYPERLINK(INDEX(xx_matrix[videoLink],MATCH(B51,xx_matrix[command],0),1),"_YES_"),"YES")))</f>
        <v/>
      </c>
      <c r="J51" t="str">
        <f>IFERROR(INDEX(xx_matrix[SrcModel],MATCH($B51,xx_matrix[command],0)),"")</f>
        <v/>
      </c>
      <c r="K51" t="str">
        <f>IFERROR(INDEX(xx_matrix[SrcObject],MATCH($B51,xx_matrix[command],0)),"")</f>
        <v/>
      </c>
      <c r="L51" t="str">
        <f>IFERROR(INDEX(xx_matrix[TgtModel],MATCH($B51,xx_matrix[command],0)),"")</f>
        <v/>
      </c>
      <c r="M51" t="str">
        <f>IFERROR(INDEX(xx_matrix[TgtObject],MATCH($B51,xx_matrix[command],0)),"")</f>
        <v/>
      </c>
      <c r="N51" t="str">
        <f>IFERROR(INDEX(xx_matrix[Instructions],MATCH($B51,xx_matrix[command],0)),"")</f>
        <v/>
      </c>
    </row>
    <row r="52" spans="1:14">
      <c r="A52" s="19"/>
      <c r="D52" s="36" t="str">
        <f>IF(ISBLANK(B52),"",IF(ISERROR(MATCH(B52,xx_matrix[command],0)),FALSE,IF(ISTEXT(INDEX(xx_matrix[videoLink],MATCH(B52,xx_matrix[command],0),1)),HYPERLINK(INDEX(xx_matrix[videoLink],MATCH(B52,xx_matrix[command],0),1),"_YES_"),"YES")))</f>
        <v/>
      </c>
      <c r="J52" t="str">
        <f>IFERROR(INDEX(xx_matrix[SrcModel],MATCH($B52,xx_matrix[command],0)),"")</f>
        <v/>
      </c>
      <c r="K52" t="str">
        <f>IFERROR(INDEX(xx_matrix[SrcObject],MATCH($B52,xx_matrix[command],0)),"")</f>
        <v/>
      </c>
      <c r="L52" t="str">
        <f>IFERROR(INDEX(xx_matrix[TgtModel],MATCH($B52,xx_matrix[command],0)),"")</f>
        <v/>
      </c>
      <c r="M52" t="str">
        <f>IFERROR(INDEX(xx_matrix[TgtObject],MATCH($B52,xx_matrix[command],0)),"")</f>
        <v/>
      </c>
      <c r="N52" t="str">
        <f>IFERROR(INDEX(xx_matrix[Instructions],MATCH($B52,xx_matrix[command],0)),"")</f>
        <v/>
      </c>
    </row>
    <row r="53" spans="1:14">
      <c r="A53" s="19"/>
      <c r="D53" s="36" t="str">
        <f>IF(ISBLANK(B53),"",IF(ISERROR(MATCH(B53,xx_matrix[command],0)),FALSE,IF(ISTEXT(INDEX(xx_matrix[videoLink],MATCH(B53,xx_matrix[command],0),1)),HYPERLINK(INDEX(xx_matrix[videoLink],MATCH(B53,xx_matrix[command],0),1),"_YES_"),"YES")))</f>
        <v/>
      </c>
      <c r="J53" t="str">
        <f>IFERROR(INDEX(xx_matrix[SrcModel],MATCH($B53,xx_matrix[command],0)),"")</f>
        <v/>
      </c>
      <c r="K53" t="str">
        <f>IFERROR(INDEX(xx_matrix[SrcObject],MATCH($B53,xx_matrix[command],0)),"")</f>
        <v/>
      </c>
      <c r="L53" t="str">
        <f>IFERROR(INDEX(xx_matrix[TgtModel],MATCH($B53,xx_matrix[command],0)),"")</f>
        <v/>
      </c>
      <c r="M53" t="str">
        <f>IFERROR(INDEX(xx_matrix[TgtObject],MATCH($B53,xx_matrix[command],0)),"")</f>
        <v/>
      </c>
      <c r="N53" t="str">
        <f>IFERROR(INDEX(xx_matrix[Instructions],MATCH($B53,xx_matrix[command],0)),"")</f>
        <v/>
      </c>
    </row>
    <row r="54" spans="1:14">
      <c r="A54" s="19"/>
      <c r="D54" s="36" t="str">
        <f>IF(ISBLANK(B54),"",IF(ISERROR(MATCH(B54,xx_matrix[command],0)),FALSE,IF(ISTEXT(INDEX(xx_matrix[videoLink],MATCH(B54,xx_matrix[command],0),1)),HYPERLINK(INDEX(xx_matrix[videoLink],MATCH(B54,xx_matrix[command],0),1),"_YES_"),"YES")))</f>
        <v/>
      </c>
      <c r="J54" t="str">
        <f>IFERROR(INDEX(xx_matrix[SrcModel],MATCH($B54,xx_matrix[command],0)),"")</f>
        <v/>
      </c>
      <c r="K54" t="str">
        <f>IFERROR(INDEX(xx_matrix[SrcObject],MATCH($B54,xx_matrix[command],0)),"")</f>
        <v/>
      </c>
      <c r="L54" t="str">
        <f>IFERROR(INDEX(xx_matrix[TgtModel],MATCH($B54,xx_matrix[command],0)),"")</f>
        <v/>
      </c>
      <c r="M54" t="str">
        <f>IFERROR(INDEX(xx_matrix[TgtObject],MATCH($B54,xx_matrix[command],0)),"")</f>
        <v/>
      </c>
      <c r="N54" t="str">
        <f>IFERROR(INDEX(xx_matrix[Instructions],MATCH($B54,xx_matrix[command],0)),"")</f>
        <v/>
      </c>
    </row>
    <row r="55" spans="1:14">
      <c r="A55" s="19"/>
      <c r="D55" s="36" t="str">
        <f>IF(ISBLANK(B55),"",IF(ISERROR(MATCH(B55,xx_matrix[command],0)),FALSE,IF(ISTEXT(INDEX(xx_matrix[videoLink],MATCH(B55,xx_matrix[command],0),1)),HYPERLINK(INDEX(xx_matrix[videoLink],MATCH(B55,xx_matrix[command],0),1),"_YES_"),"YES")))</f>
        <v/>
      </c>
      <c r="J55" t="str">
        <f>IFERROR(INDEX(xx_matrix[SrcModel],MATCH($B55,xx_matrix[command],0)),"")</f>
        <v/>
      </c>
      <c r="K55" t="str">
        <f>IFERROR(INDEX(xx_matrix[SrcObject],MATCH($B55,xx_matrix[command],0)),"")</f>
        <v/>
      </c>
      <c r="L55" t="str">
        <f>IFERROR(INDEX(xx_matrix[TgtModel],MATCH($B55,xx_matrix[command],0)),"")</f>
        <v/>
      </c>
      <c r="M55" t="str">
        <f>IFERROR(INDEX(xx_matrix[TgtObject],MATCH($B55,xx_matrix[command],0)),"")</f>
        <v/>
      </c>
      <c r="N55" t="str">
        <f>IFERROR(INDEX(xx_matrix[Instructions],MATCH($B55,xx_matrix[command],0)),"")</f>
        <v/>
      </c>
    </row>
    <row r="56" spans="1:14">
      <c r="A56" s="19"/>
      <c r="D56" s="36" t="str">
        <f>IF(ISBLANK(B56),"",IF(ISERROR(MATCH(B56,xx_matrix[command],0)),FALSE,IF(ISTEXT(INDEX(xx_matrix[videoLink],MATCH(B56,xx_matrix[command],0),1)),HYPERLINK(INDEX(xx_matrix[videoLink],MATCH(B56,xx_matrix[command],0),1),"_YES_"),"YES")))</f>
        <v/>
      </c>
      <c r="J56" t="str">
        <f>IFERROR(INDEX(xx_matrix[SrcModel],MATCH($B56,xx_matrix[command],0)),"")</f>
        <v/>
      </c>
      <c r="K56" t="str">
        <f>IFERROR(INDEX(xx_matrix[SrcObject],MATCH($B56,xx_matrix[command],0)),"")</f>
        <v/>
      </c>
      <c r="L56" t="str">
        <f>IFERROR(INDEX(xx_matrix[TgtModel],MATCH($B56,xx_matrix[command],0)),"")</f>
        <v/>
      </c>
      <c r="M56" t="str">
        <f>IFERROR(INDEX(xx_matrix[TgtObject],MATCH($B56,xx_matrix[command],0)),"")</f>
        <v/>
      </c>
      <c r="N56" t="str">
        <f>IFERROR(INDEX(xx_matrix[Instructions],MATCH($B56,xx_matrix[command],0)),"")</f>
        <v/>
      </c>
    </row>
    <row r="57" spans="1:14">
      <c r="A57" s="19"/>
      <c r="D57" s="36" t="str">
        <f>IF(ISBLANK(B57),"",IF(ISERROR(MATCH(B57,xx_matrix[command],0)),FALSE,IF(ISTEXT(INDEX(xx_matrix[videoLink],MATCH(B57,xx_matrix[command],0),1)),HYPERLINK(INDEX(xx_matrix[videoLink],MATCH(B57,xx_matrix[command],0),1),"_YES_"),"YES")))</f>
        <v/>
      </c>
      <c r="J57" t="str">
        <f>IFERROR(INDEX(xx_matrix[SrcModel],MATCH($B57,xx_matrix[command],0)),"")</f>
        <v/>
      </c>
      <c r="K57" t="str">
        <f>IFERROR(INDEX(xx_matrix[SrcObject],MATCH($B57,xx_matrix[command],0)),"")</f>
        <v/>
      </c>
      <c r="L57" t="str">
        <f>IFERROR(INDEX(xx_matrix[TgtModel],MATCH($B57,xx_matrix[command],0)),"")</f>
        <v/>
      </c>
      <c r="M57" t="str">
        <f>IFERROR(INDEX(xx_matrix[TgtObject],MATCH($B57,xx_matrix[command],0)),"")</f>
        <v/>
      </c>
      <c r="N57" t="str">
        <f>IFERROR(INDEX(xx_matrix[Instructions],MATCH($B57,xx_matrix[command],0)),"")</f>
        <v/>
      </c>
    </row>
    <row r="58" spans="1:14">
      <c r="A58" s="19"/>
      <c r="D58" s="36" t="str">
        <f>IF(ISBLANK(B58),"",IF(ISERROR(MATCH(B58,xx_matrix[command],0)),FALSE,IF(ISTEXT(INDEX(xx_matrix[videoLink],MATCH(B58,xx_matrix[command],0),1)),HYPERLINK(INDEX(xx_matrix[videoLink],MATCH(B58,xx_matrix[command],0),1),"_YES_"),"YES")))</f>
        <v/>
      </c>
      <c r="J58" t="str">
        <f>IFERROR(INDEX(xx_matrix[SrcModel],MATCH($B58,xx_matrix[command],0)),"")</f>
        <v/>
      </c>
      <c r="K58" t="str">
        <f>IFERROR(INDEX(xx_matrix[SrcObject],MATCH($B58,xx_matrix[command],0)),"")</f>
        <v/>
      </c>
      <c r="L58" t="str">
        <f>IFERROR(INDEX(xx_matrix[TgtModel],MATCH($B58,xx_matrix[command],0)),"")</f>
        <v/>
      </c>
      <c r="M58" t="str">
        <f>IFERROR(INDEX(xx_matrix[TgtObject],MATCH($B58,xx_matrix[command],0)),"")</f>
        <v/>
      </c>
      <c r="N58" t="str">
        <f>IFERROR(INDEX(xx_matrix[Instructions],MATCH($B58,xx_matrix[command],0)),"")</f>
        <v/>
      </c>
    </row>
    <row r="59" spans="1:14">
      <c r="A59" s="19"/>
      <c r="D59" s="36" t="str">
        <f>IF(ISBLANK(B59),"",IF(ISERROR(MATCH(B59,xx_matrix[command],0)),FALSE,IF(ISTEXT(INDEX(xx_matrix[videoLink],MATCH(B59,xx_matrix[command],0),1)),HYPERLINK(INDEX(xx_matrix[videoLink],MATCH(B59,xx_matrix[command],0),1),"_YES_"),"YES")))</f>
        <v/>
      </c>
      <c r="J59" t="str">
        <f>IFERROR(INDEX(xx_matrix[SrcModel],MATCH($B59,xx_matrix[command],0)),"")</f>
        <v/>
      </c>
      <c r="K59" t="str">
        <f>IFERROR(INDEX(xx_matrix[SrcObject],MATCH($B59,xx_matrix[command],0)),"")</f>
        <v/>
      </c>
      <c r="L59" t="str">
        <f>IFERROR(INDEX(xx_matrix[TgtModel],MATCH($B59,xx_matrix[command],0)),"")</f>
        <v/>
      </c>
      <c r="M59" t="str">
        <f>IFERROR(INDEX(xx_matrix[TgtObject],MATCH($B59,xx_matrix[command],0)),"")</f>
        <v/>
      </c>
      <c r="N59" t="str">
        <f>IFERROR(INDEX(xx_matrix[Instructions],MATCH($B59,xx_matrix[command],0)),"")</f>
        <v/>
      </c>
    </row>
    <row r="60" spans="1:14">
      <c r="A60" s="19"/>
      <c r="D60" s="36" t="str">
        <f>IF(ISBLANK(B60),"",IF(ISERROR(MATCH(B60,xx_matrix[command],0)),FALSE,IF(ISTEXT(INDEX(xx_matrix[videoLink],MATCH(B60,xx_matrix[command],0),1)),HYPERLINK(INDEX(xx_matrix[videoLink],MATCH(B60,xx_matrix[command],0),1),"_YES_"),"YES")))</f>
        <v/>
      </c>
      <c r="J60" t="str">
        <f>IFERROR(INDEX(xx_matrix[SrcModel],MATCH($B60,xx_matrix[command],0)),"")</f>
        <v/>
      </c>
      <c r="K60" t="str">
        <f>IFERROR(INDEX(xx_matrix[SrcObject],MATCH($B60,xx_matrix[command],0)),"")</f>
        <v/>
      </c>
      <c r="L60" t="str">
        <f>IFERROR(INDEX(xx_matrix[TgtModel],MATCH($B60,xx_matrix[command],0)),"")</f>
        <v/>
      </c>
      <c r="M60" t="str">
        <f>IFERROR(INDEX(xx_matrix[TgtObject],MATCH($B60,xx_matrix[command],0)),"")</f>
        <v/>
      </c>
      <c r="N60" t="str">
        <f>IFERROR(INDEX(xx_matrix[Instructions],MATCH($B60,xx_matrix[command],0)),"")</f>
        <v/>
      </c>
    </row>
    <row r="61" spans="1:14">
      <c r="A61" s="19"/>
      <c r="D61" s="36" t="str">
        <f>IF(ISBLANK(B61),"",IF(ISERROR(MATCH(B61,xx_matrix[command],0)),FALSE,IF(ISTEXT(INDEX(xx_matrix[videoLink],MATCH(B61,xx_matrix[command],0),1)),HYPERLINK(INDEX(xx_matrix[videoLink],MATCH(B61,xx_matrix[command],0),1),"_YES_"),"YES")))</f>
        <v/>
      </c>
      <c r="J61" t="str">
        <f>IFERROR(INDEX(xx_matrix[SrcModel],MATCH($B61,xx_matrix[command],0)),"")</f>
        <v/>
      </c>
      <c r="K61" t="str">
        <f>IFERROR(INDEX(xx_matrix[SrcObject],MATCH($B61,xx_matrix[command],0)),"")</f>
        <v/>
      </c>
      <c r="L61" t="str">
        <f>IFERROR(INDEX(xx_matrix[TgtModel],MATCH($B61,xx_matrix[command],0)),"")</f>
        <v/>
      </c>
      <c r="M61" t="str">
        <f>IFERROR(INDEX(xx_matrix[TgtObject],MATCH($B61,xx_matrix[command],0)),"")</f>
        <v/>
      </c>
      <c r="N61" t="str">
        <f>IFERROR(INDEX(xx_matrix[Instructions],MATCH($B61,xx_matrix[command],0)),"")</f>
        <v/>
      </c>
    </row>
    <row r="62" spans="1:14">
      <c r="A62" s="19"/>
      <c r="D62" s="36" t="str">
        <f>IF(ISBLANK(B62),"",IF(ISERROR(MATCH(B62,xx_matrix[command],0)),FALSE,IF(ISTEXT(INDEX(xx_matrix[videoLink],MATCH(B62,xx_matrix[command],0),1)),HYPERLINK(INDEX(xx_matrix[videoLink],MATCH(B62,xx_matrix[command],0),1),"_YES_"),"YES")))</f>
        <v/>
      </c>
      <c r="J62" t="str">
        <f>IFERROR(INDEX(xx_matrix[SrcModel],MATCH($B62,xx_matrix[command],0)),"")</f>
        <v/>
      </c>
      <c r="K62" t="str">
        <f>IFERROR(INDEX(xx_matrix[SrcObject],MATCH($B62,xx_matrix[command],0)),"")</f>
        <v/>
      </c>
      <c r="L62" t="str">
        <f>IFERROR(INDEX(xx_matrix[TgtModel],MATCH($B62,xx_matrix[command],0)),"")</f>
        <v/>
      </c>
      <c r="M62" t="str">
        <f>IFERROR(INDEX(xx_matrix[TgtObject],MATCH($B62,xx_matrix[command],0)),"")</f>
        <v/>
      </c>
      <c r="N62" t="str">
        <f>IFERROR(INDEX(xx_matrix[Instructions],MATCH($B62,xx_matrix[command],0)),"")</f>
        <v/>
      </c>
    </row>
    <row r="63" spans="1:14">
      <c r="A63" s="19"/>
      <c r="D63" s="36" t="str">
        <f>IF(ISBLANK(B63),"",IF(ISERROR(MATCH(B63,xx_matrix[command],0)),FALSE,IF(ISTEXT(INDEX(xx_matrix[videoLink],MATCH(B63,xx_matrix[command],0),1)),HYPERLINK(INDEX(xx_matrix[videoLink],MATCH(B63,xx_matrix[command],0),1),"_YES_"),"YES")))</f>
        <v/>
      </c>
      <c r="J63" t="str">
        <f>IFERROR(INDEX(xx_matrix[SrcModel],MATCH($B63,xx_matrix[command],0)),"")</f>
        <v/>
      </c>
      <c r="K63" t="str">
        <f>IFERROR(INDEX(xx_matrix[SrcObject],MATCH($B63,xx_matrix[command],0)),"")</f>
        <v/>
      </c>
      <c r="L63" t="str">
        <f>IFERROR(INDEX(xx_matrix[TgtModel],MATCH($B63,xx_matrix[command],0)),"")</f>
        <v/>
      </c>
      <c r="M63" t="str">
        <f>IFERROR(INDEX(xx_matrix[TgtObject],MATCH($B63,xx_matrix[command],0)),"")</f>
        <v/>
      </c>
      <c r="N63" t="str">
        <f>IFERROR(INDEX(xx_matrix[Instructions],MATCH($B63,xx_matrix[command],0)),"")</f>
        <v/>
      </c>
    </row>
    <row r="64" spans="1:14">
      <c r="A64" s="19"/>
      <c r="D64" s="36" t="str">
        <f>IF(ISBLANK(B64),"",IF(ISERROR(MATCH(B64,xx_matrix[command],0)),FALSE,IF(ISTEXT(INDEX(xx_matrix[videoLink],MATCH(B64,xx_matrix[command],0),1)),HYPERLINK(INDEX(xx_matrix[videoLink],MATCH(B64,xx_matrix[command],0),1),"_YES_"),"YES")))</f>
        <v/>
      </c>
      <c r="J64" t="str">
        <f>IFERROR(INDEX(xx_matrix[SrcModel],MATCH($B64,xx_matrix[command],0)),"")</f>
        <v/>
      </c>
      <c r="K64" t="str">
        <f>IFERROR(INDEX(xx_matrix[SrcObject],MATCH($B64,xx_matrix[command],0)),"")</f>
        <v/>
      </c>
      <c r="L64" t="str">
        <f>IFERROR(INDEX(xx_matrix[TgtModel],MATCH($B64,xx_matrix[command],0)),"")</f>
        <v/>
      </c>
      <c r="M64" t="str">
        <f>IFERROR(INDEX(xx_matrix[TgtObject],MATCH($B64,xx_matrix[command],0)),"")</f>
        <v/>
      </c>
      <c r="N64" t="str">
        <f>IFERROR(INDEX(xx_matrix[Instructions],MATCH($B64,xx_matrix[command],0)),"")</f>
        <v/>
      </c>
    </row>
    <row r="65" spans="1:14">
      <c r="A65" s="19"/>
      <c r="D65" s="36" t="str">
        <f>IF(ISBLANK(B65),"",IF(ISERROR(MATCH(B65,xx_matrix[command],0)),FALSE,IF(ISTEXT(INDEX(xx_matrix[videoLink],MATCH(B65,xx_matrix[command],0),1)),HYPERLINK(INDEX(xx_matrix[videoLink],MATCH(B65,xx_matrix[command],0),1),"_YES_"),"YES")))</f>
        <v/>
      </c>
      <c r="J65" t="str">
        <f>IFERROR(INDEX(xx_matrix[SrcModel],MATCH($B65,xx_matrix[command],0)),"")</f>
        <v/>
      </c>
      <c r="K65" t="str">
        <f>IFERROR(INDEX(xx_matrix[SrcObject],MATCH($B65,xx_matrix[command],0)),"")</f>
        <v/>
      </c>
      <c r="L65" t="str">
        <f>IFERROR(INDEX(xx_matrix[TgtModel],MATCH($B65,xx_matrix[command],0)),"")</f>
        <v/>
      </c>
      <c r="M65" t="str">
        <f>IFERROR(INDEX(xx_matrix[TgtObject],MATCH($B65,xx_matrix[command],0)),"")</f>
        <v/>
      </c>
      <c r="N65" t="str">
        <f>IFERROR(INDEX(xx_matrix[Instructions],MATCH($B65,xx_matrix[command],0)),"")</f>
        <v/>
      </c>
    </row>
    <row r="66" spans="1:14">
      <c r="A66" s="19"/>
      <c r="D66" s="36" t="str">
        <f>IF(ISBLANK(B66),"",IF(ISERROR(MATCH(B66,xx_matrix[command],0)),FALSE,IF(ISTEXT(INDEX(xx_matrix[videoLink],MATCH(B66,xx_matrix[command],0),1)),HYPERLINK(INDEX(xx_matrix[videoLink],MATCH(B66,xx_matrix[command],0),1),"_YES_"),"YES")))</f>
        <v/>
      </c>
      <c r="J66" t="str">
        <f>IFERROR(INDEX(xx_matrix[SrcModel],MATCH($B66,xx_matrix[command],0)),"")</f>
        <v/>
      </c>
      <c r="K66" t="str">
        <f>IFERROR(INDEX(xx_matrix[SrcObject],MATCH($B66,xx_matrix[command],0)),"")</f>
        <v/>
      </c>
      <c r="L66" t="str">
        <f>IFERROR(INDEX(xx_matrix[TgtModel],MATCH($B66,xx_matrix[command],0)),"")</f>
        <v/>
      </c>
      <c r="M66" t="str">
        <f>IFERROR(INDEX(xx_matrix[TgtObject],MATCH($B66,xx_matrix[command],0)),"")</f>
        <v/>
      </c>
      <c r="N66" t="str">
        <f>IFERROR(INDEX(xx_matrix[Instructions],MATCH($B66,xx_matrix[command],0)),"")</f>
        <v/>
      </c>
    </row>
    <row r="67" spans="1:14">
      <c r="A67" s="19"/>
      <c r="D67" s="36" t="str">
        <f>IF(ISBLANK(B67),"",IF(ISERROR(MATCH(B67,xx_matrix[command],0)),FALSE,IF(ISTEXT(INDEX(xx_matrix[videoLink],MATCH(B67,xx_matrix[command],0),1)),HYPERLINK(INDEX(xx_matrix[videoLink],MATCH(B67,xx_matrix[command],0),1),"_YES_"),"YES")))</f>
        <v/>
      </c>
      <c r="J67" t="str">
        <f>IFERROR(INDEX(xx_matrix[SrcModel],MATCH($B67,xx_matrix[command],0)),"")</f>
        <v/>
      </c>
      <c r="K67" t="str">
        <f>IFERROR(INDEX(xx_matrix[SrcObject],MATCH($B67,xx_matrix[command],0)),"")</f>
        <v/>
      </c>
      <c r="L67" t="str">
        <f>IFERROR(INDEX(xx_matrix[TgtModel],MATCH($B67,xx_matrix[command],0)),"")</f>
        <v/>
      </c>
      <c r="M67" t="str">
        <f>IFERROR(INDEX(xx_matrix[TgtObject],MATCH($B67,xx_matrix[command],0)),"")</f>
        <v/>
      </c>
      <c r="N67" t="str">
        <f>IFERROR(INDEX(xx_matrix[Instructions],MATCH($B67,xx_matrix[command],0)),"")</f>
        <v/>
      </c>
    </row>
    <row r="68" spans="1:14">
      <c r="A68" s="19"/>
      <c r="D68" s="36" t="str">
        <f>IF(ISBLANK(B68),"",IF(ISERROR(MATCH(B68,xx_matrix[command],0)),FALSE,IF(ISTEXT(INDEX(xx_matrix[videoLink],MATCH(B68,xx_matrix[command],0),1)),HYPERLINK(INDEX(xx_matrix[videoLink],MATCH(B68,xx_matrix[command],0),1),"_YES_"),"YES")))</f>
        <v/>
      </c>
      <c r="J68" t="str">
        <f>IFERROR(INDEX(xx_matrix[SrcModel],MATCH($B68,xx_matrix[command],0)),"")</f>
        <v/>
      </c>
      <c r="K68" t="str">
        <f>IFERROR(INDEX(xx_matrix[SrcObject],MATCH($B68,xx_matrix[command],0)),"")</f>
        <v/>
      </c>
      <c r="L68" t="str">
        <f>IFERROR(INDEX(xx_matrix[TgtModel],MATCH($B68,xx_matrix[command],0)),"")</f>
        <v/>
      </c>
      <c r="M68" t="str">
        <f>IFERROR(INDEX(xx_matrix[TgtObject],MATCH($B68,xx_matrix[command],0)),"")</f>
        <v/>
      </c>
      <c r="N68" t="str">
        <f>IFERROR(INDEX(xx_matrix[Instructions],MATCH($B68,xx_matrix[command],0)),"")</f>
        <v/>
      </c>
    </row>
    <row r="69" spans="1:14">
      <c r="A69" s="19"/>
      <c r="D69" s="36" t="str">
        <f>IF(ISBLANK(B69),"",IF(ISERROR(MATCH(B69,xx_matrix[command],0)),FALSE,IF(ISTEXT(INDEX(xx_matrix[videoLink],MATCH(B69,xx_matrix[command],0),1)),HYPERLINK(INDEX(xx_matrix[videoLink],MATCH(B69,xx_matrix[command],0),1),"_YES_"),"YES")))</f>
        <v/>
      </c>
      <c r="J69" t="str">
        <f>IFERROR(INDEX(xx_matrix[SrcModel],MATCH($B69,xx_matrix[command],0)),"")</f>
        <v/>
      </c>
      <c r="K69" t="str">
        <f>IFERROR(INDEX(xx_matrix[SrcObject],MATCH($B69,xx_matrix[command],0)),"")</f>
        <v/>
      </c>
      <c r="L69" t="str">
        <f>IFERROR(INDEX(xx_matrix[TgtModel],MATCH($B69,xx_matrix[command],0)),"")</f>
        <v/>
      </c>
      <c r="M69" t="str">
        <f>IFERROR(INDEX(xx_matrix[TgtObject],MATCH($B69,xx_matrix[command],0)),"")</f>
        <v/>
      </c>
      <c r="N69" t="str">
        <f>IFERROR(INDEX(xx_matrix[Instructions],MATCH($B69,xx_matrix[command],0)),"")</f>
        <v/>
      </c>
    </row>
    <row r="70" spans="1:14">
      <c r="A70" s="19"/>
      <c r="D70" s="36" t="str">
        <f>IF(ISBLANK(B70),"",IF(ISERROR(MATCH(B70,xx_matrix[command],0)),FALSE,IF(ISTEXT(INDEX(xx_matrix[videoLink],MATCH(B70,xx_matrix[command],0),1)),HYPERLINK(INDEX(xx_matrix[videoLink],MATCH(B70,xx_matrix[command],0),1),"_YES_"),"YES")))</f>
        <v/>
      </c>
      <c r="J70" t="str">
        <f>IFERROR(INDEX(xx_matrix[SrcModel],MATCH($B70,xx_matrix[command],0)),"")</f>
        <v/>
      </c>
      <c r="K70" t="str">
        <f>IFERROR(INDEX(xx_matrix[SrcObject],MATCH($B70,xx_matrix[command],0)),"")</f>
        <v/>
      </c>
      <c r="L70" t="str">
        <f>IFERROR(INDEX(xx_matrix[TgtModel],MATCH($B70,xx_matrix[command],0)),"")</f>
        <v/>
      </c>
      <c r="M70" t="str">
        <f>IFERROR(INDEX(xx_matrix[TgtObject],MATCH($B70,xx_matrix[command],0)),"")</f>
        <v/>
      </c>
      <c r="N70" t="str">
        <f>IFERROR(INDEX(xx_matrix[Instructions],MATCH($B70,xx_matrix[command],0)),"")</f>
        <v/>
      </c>
    </row>
    <row r="71" spans="1:14">
      <c r="A71" s="19"/>
      <c r="D71" s="36" t="str">
        <f>IF(ISBLANK(B71),"",IF(ISERROR(MATCH(B71,xx_matrix[command],0)),FALSE,IF(ISTEXT(INDEX(xx_matrix[videoLink],MATCH(B71,xx_matrix[command],0),1)),HYPERLINK(INDEX(xx_matrix[videoLink],MATCH(B71,xx_matrix[command],0),1),"_YES_"),"YES")))</f>
        <v/>
      </c>
      <c r="J71" t="str">
        <f>IFERROR(INDEX(xx_matrix[SrcModel],MATCH($B71,xx_matrix[command],0)),"")</f>
        <v/>
      </c>
      <c r="K71" t="str">
        <f>IFERROR(INDEX(xx_matrix[SrcObject],MATCH($B71,xx_matrix[command],0)),"")</f>
        <v/>
      </c>
      <c r="L71" t="str">
        <f>IFERROR(INDEX(xx_matrix[TgtModel],MATCH($B71,xx_matrix[command],0)),"")</f>
        <v/>
      </c>
      <c r="M71" t="str">
        <f>IFERROR(INDEX(xx_matrix[TgtObject],MATCH($B71,xx_matrix[command],0)),"")</f>
        <v/>
      </c>
      <c r="N71" t="str">
        <f>IFERROR(INDEX(xx_matrix[Instructions],MATCH($B71,xx_matrix[command],0)),"")</f>
        <v/>
      </c>
    </row>
    <row r="72" spans="1:14">
      <c r="A72" s="19"/>
      <c r="D72" s="36" t="str">
        <f>IF(ISBLANK(B72),"",IF(ISERROR(MATCH(B72,xx_matrix[command],0)),FALSE,IF(ISTEXT(INDEX(xx_matrix[videoLink],MATCH(B72,xx_matrix[command],0),1)),HYPERLINK(INDEX(xx_matrix[videoLink],MATCH(B72,xx_matrix[command],0),1),"_YES_"),"YES")))</f>
        <v/>
      </c>
      <c r="J72" t="str">
        <f>IFERROR(INDEX(xx_matrix[SrcModel],MATCH($B72,xx_matrix[command],0)),"")</f>
        <v/>
      </c>
      <c r="K72" t="str">
        <f>IFERROR(INDEX(xx_matrix[SrcObject],MATCH($B72,xx_matrix[command],0)),"")</f>
        <v/>
      </c>
      <c r="L72" t="str">
        <f>IFERROR(INDEX(xx_matrix[TgtModel],MATCH($B72,xx_matrix[command],0)),"")</f>
        <v/>
      </c>
      <c r="M72" t="str">
        <f>IFERROR(INDEX(xx_matrix[TgtObject],MATCH($B72,xx_matrix[command],0)),"")</f>
        <v/>
      </c>
      <c r="N72" t="str">
        <f>IFERROR(INDEX(xx_matrix[Instructions],MATCH($B72,xx_matrix[command],0)),"")</f>
        <v/>
      </c>
    </row>
    <row r="73" spans="1:14">
      <c r="A73" s="19"/>
      <c r="D73" s="36" t="str">
        <f>IF(ISBLANK(B73),"",IF(ISERROR(MATCH(B73,xx_matrix[command],0)),FALSE,IF(ISTEXT(INDEX(xx_matrix[videoLink],MATCH(B73,xx_matrix[command],0),1)),HYPERLINK(INDEX(xx_matrix[videoLink],MATCH(B73,xx_matrix[command],0),1),"_YES_"),"YES")))</f>
        <v/>
      </c>
      <c r="J73" t="str">
        <f>IFERROR(INDEX(xx_matrix[SrcModel],MATCH($B73,xx_matrix[command],0)),"")</f>
        <v/>
      </c>
      <c r="K73" t="str">
        <f>IFERROR(INDEX(xx_matrix[SrcObject],MATCH($B73,xx_matrix[command],0)),"")</f>
        <v/>
      </c>
      <c r="L73" t="str">
        <f>IFERROR(INDEX(xx_matrix[TgtModel],MATCH($B73,xx_matrix[command],0)),"")</f>
        <v/>
      </c>
      <c r="M73" t="str">
        <f>IFERROR(INDEX(xx_matrix[TgtObject],MATCH($B73,xx_matrix[command],0)),"")</f>
        <v/>
      </c>
      <c r="N73" t="str">
        <f>IFERROR(INDEX(xx_matrix[Instructions],MATCH($B73,xx_matrix[command],0)),"")</f>
        <v/>
      </c>
    </row>
    <row r="74" spans="1:14">
      <c r="A74" s="19"/>
      <c r="D74" s="36" t="str">
        <f>IF(ISBLANK(B74),"",IF(ISERROR(MATCH(B74,xx_matrix[command],0)),FALSE,IF(ISTEXT(INDEX(xx_matrix[videoLink],MATCH(B74,xx_matrix[command],0),1)),HYPERLINK(INDEX(xx_matrix[videoLink],MATCH(B74,xx_matrix[command],0),1),"_YES_"),"YES")))</f>
        <v/>
      </c>
      <c r="J74" t="str">
        <f>IFERROR(INDEX(xx_matrix[SrcModel],MATCH($B74,xx_matrix[command],0)),"")</f>
        <v/>
      </c>
      <c r="K74" t="str">
        <f>IFERROR(INDEX(xx_matrix[SrcObject],MATCH($B74,xx_matrix[command],0)),"")</f>
        <v/>
      </c>
      <c r="L74" t="str">
        <f>IFERROR(INDEX(xx_matrix[TgtModel],MATCH($B74,xx_matrix[command],0)),"")</f>
        <v/>
      </c>
      <c r="M74" t="str">
        <f>IFERROR(INDEX(xx_matrix[TgtObject],MATCH($B74,xx_matrix[command],0)),"")</f>
        <v/>
      </c>
      <c r="N74" t="str">
        <f>IFERROR(INDEX(xx_matrix[Instructions],MATCH($B74,xx_matrix[command],0)),"")</f>
        <v/>
      </c>
    </row>
    <row r="75" spans="1:14">
      <c r="A75" s="19"/>
      <c r="D75" s="36" t="str">
        <f>IF(ISBLANK(B75),"",IF(ISERROR(MATCH(B75,xx_matrix[command],0)),FALSE,IF(ISTEXT(INDEX(xx_matrix[videoLink],MATCH(B75,xx_matrix[command],0),1)),HYPERLINK(INDEX(xx_matrix[videoLink],MATCH(B75,xx_matrix[command],0),1),"_YES_"),"YES")))</f>
        <v/>
      </c>
      <c r="J75" t="str">
        <f>IFERROR(INDEX(xx_matrix[SrcModel],MATCH($B75,xx_matrix[command],0)),"")</f>
        <v/>
      </c>
      <c r="K75" t="str">
        <f>IFERROR(INDEX(xx_matrix[SrcObject],MATCH($B75,xx_matrix[command],0)),"")</f>
        <v/>
      </c>
      <c r="L75" t="str">
        <f>IFERROR(INDEX(xx_matrix[TgtModel],MATCH($B75,xx_matrix[command],0)),"")</f>
        <v/>
      </c>
      <c r="M75" t="str">
        <f>IFERROR(INDEX(xx_matrix[TgtObject],MATCH($B75,xx_matrix[command],0)),"")</f>
        <v/>
      </c>
      <c r="N75" t="str">
        <f>IFERROR(INDEX(xx_matrix[Instructions],MATCH($B75,xx_matrix[command],0)),"")</f>
        <v/>
      </c>
    </row>
    <row r="76" spans="1:14">
      <c r="A76" s="19"/>
      <c r="D76" s="36" t="str">
        <f>IF(ISBLANK(B76),"",IF(ISERROR(MATCH(B76,xx_matrix[command],0)),FALSE,IF(ISTEXT(INDEX(xx_matrix[videoLink],MATCH(B76,xx_matrix[command],0),1)),HYPERLINK(INDEX(xx_matrix[videoLink],MATCH(B76,xx_matrix[command],0),1),"_YES_"),"YES")))</f>
        <v/>
      </c>
      <c r="J76" t="str">
        <f>IFERROR(INDEX(xx_matrix[SrcModel],MATCH($B76,xx_matrix[command],0)),"")</f>
        <v/>
      </c>
      <c r="K76" t="str">
        <f>IFERROR(INDEX(xx_matrix[SrcObject],MATCH($B76,xx_matrix[command],0)),"")</f>
        <v/>
      </c>
      <c r="L76" t="str">
        <f>IFERROR(INDEX(xx_matrix[TgtModel],MATCH($B76,xx_matrix[command],0)),"")</f>
        <v/>
      </c>
      <c r="M76" t="str">
        <f>IFERROR(INDEX(xx_matrix[TgtObject],MATCH($B76,xx_matrix[command],0)),"")</f>
        <v/>
      </c>
      <c r="N76" t="str">
        <f>IFERROR(INDEX(xx_matrix[Instructions],MATCH($B76,xx_matrix[command],0)),"")</f>
        <v/>
      </c>
    </row>
    <row r="77" spans="1:14">
      <c r="A77" s="19"/>
      <c r="D77" s="36" t="str">
        <f>IF(ISBLANK(B77),"",IF(ISERROR(MATCH(B77,xx_matrix[command],0)),FALSE,IF(ISTEXT(INDEX(xx_matrix[videoLink],MATCH(B77,xx_matrix[command],0),1)),HYPERLINK(INDEX(xx_matrix[videoLink],MATCH(B77,xx_matrix[command],0),1),"_YES_"),"YES")))</f>
        <v/>
      </c>
      <c r="J77" t="str">
        <f>IFERROR(INDEX(xx_matrix[SrcModel],MATCH($B77,xx_matrix[command],0)),"")</f>
        <v/>
      </c>
      <c r="K77" t="str">
        <f>IFERROR(INDEX(xx_matrix[SrcObject],MATCH($B77,xx_matrix[command],0)),"")</f>
        <v/>
      </c>
      <c r="L77" t="str">
        <f>IFERROR(INDEX(xx_matrix[TgtModel],MATCH($B77,xx_matrix[command],0)),"")</f>
        <v/>
      </c>
      <c r="M77" t="str">
        <f>IFERROR(INDEX(xx_matrix[TgtObject],MATCH($B77,xx_matrix[command],0)),"")</f>
        <v/>
      </c>
      <c r="N77" t="str">
        <f>IFERROR(INDEX(xx_matrix[Instructions],MATCH($B77,xx_matrix[command],0)),"")</f>
        <v/>
      </c>
    </row>
    <row r="78" spans="1:14">
      <c r="A78" s="19"/>
      <c r="D78" s="36" t="str">
        <f>IF(ISBLANK(B78),"",IF(ISERROR(MATCH(B78,xx_matrix[command],0)),FALSE,IF(ISTEXT(INDEX(xx_matrix[videoLink],MATCH(B78,xx_matrix[command],0),1)),HYPERLINK(INDEX(xx_matrix[videoLink],MATCH(B78,xx_matrix[command],0),1),"_YES_"),"YES")))</f>
        <v/>
      </c>
      <c r="J78" t="str">
        <f>IFERROR(INDEX(xx_matrix[SrcModel],MATCH($B78,xx_matrix[command],0)),"")</f>
        <v/>
      </c>
      <c r="K78" t="str">
        <f>IFERROR(INDEX(xx_matrix[SrcObject],MATCH($B78,xx_matrix[command],0)),"")</f>
        <v/>
      </c>
      <c r="L78" t="str">
        <f>IFERROR(INDEX(xx_matrix[TgtModel],MATCH($B78,xx_matrix[command],0)),"")</f>
        <v/>
      </c>
      <c r="M78" t="str">
        <f>IFERROR(INDEX(xx_matrix[TgtObject],MATCH($B78,xx_matrix[command],0)),"")</f>
        <v/>
      </c>
      <c r="N78" t="str">
        <f>IFERROR(INDEX(xx_matrix[Instructions],MATCH($B78,xx_matrix[command],0)),"")</f>
        <v/>
      </c>
    </row>
    <row r="79" spans="1:14">
      <c r="A79" s="19"/>
      <c r="D79" s="36" t="str">
        <f>IF(ISBLANK(B79),"",IF(ISERROR(MATCH(B79,xx_matrix[command],0)),FALSE,IF(ISTEXT(INDEX(xx_matrix[videoLink],MATCH(B79,xx_matrix[command],0),1)),HYPERLINK(INDEX(xx_matrix[videoLink],MATCH(B79,xx_matrix[command],0),1),"_YES_"),"YES")))</f>
        <v/>
      </c>
      <c r="J79" t="str">
        <f>IFERROR(INDEX(xx_matrix[SrcModel],MATCH($B79,xx_matrix[command],0)),"")</f>
        <v/>
      </c>
      <c r="K79" t="str">
        <f>IFERROR(INDEX(xx_matrix[SrcObject],MATCH($B79,xx_matrix[command],0)),"")</f>
        <v/>
      </c>
      <c r="L79" t="str">
        <f>IFERROR(INDEX(xx_matrix[TgtModel],MATCH($B79,xx_matrix[command],0)),"")</f>
        <v/>
      </c>
      <c r="M79" t="str">
        <f>IFERROR(INDEX(xx_matrix[TgtObject],MATCH($B79,xx_matrix[command],0)),"")</f>
        <v/>
      </c>
      <c r="N79" t="str">
        <f>IFERROR(INDEX(xx_matrix[Instructions],MATCH($B79,xx_matrix[command],0)),"")</f>
        <v/>
      </c>
    </row>
    <row r="80" spans="1:14">
      <c r="A80" s="19"/>
      <c r="D80" s="36" t="str">
        <f>IF(ISBLANK(B80),"",IF(ISERROR(MATCH(B80,xx_matrix[command],0)),FALSE,IF(ISTEXT(INDEX(xx_matrix[videoLink],MATCH(B80,xx_matrix[command],0),1)),HYPERLINK(INDEX(xx_matrix[videoLink],MATCH(B80,xx_matrix[command],0),1),"_YES_"),"YES")))</f>
        <v/>
      </c>
      <c r="J80" t="str">
        <f>IFERROR(INDEX(xx_matrix[SrcModel],MATCH($B80,xx_matrix[command],0)),"")</f>
        <v/>
      </c>
      <c r="K80" t="str">
        <f>IFERROR(INDEX(xx_matrix[SrcObject],MATCH($B80,xx_matrix[command],0)),"")</f>
        <v/>
      </c>
      <c r="L80" t="str">
        <f>IFERROR(INDEX(xx_matrix[TgtModel],MATCH($B80,xx_matrix[command],0)),"")</f>
        <v/>
      </c>
      <c r="M80" t="str">
        <f>IFERROR(INDEX(xx_matrix[TgtObject],MATCH($B80,xx_matrix[command],0)),"")</f>
        <v/>
      </c>
      <c r="N80" t="str">
        <f>IFERROR(INDEX(xx_matrix[Instructions],MATCH($B80,xx_matrix[command],0)),"")</f>
        <v/>
      </c>
    </row>
    <row r="81" spans="1:14">
      <c r="A81" s="19"/>
      <c r="D81" s="36" t="str">
        <f>IF(ISBLANK(B81),"",IF(ISERROR(MATCH(B81,xx_matrix[command],0)),FALSE,IF(ISTEXT(INDEX(xx_matrix[videoLink],MATCH(B81,xx_matrix[command],0),1)),HYPERLINK(INDEX(xx_matrix[videoLink],MATCH(B81,xx_matrix[command],0),1),"_YES_"),"YES")))</f>
        <v/>
      </c>
      <c r="J81" t="str">
        <f>IFERROR(INDEX(xx_matrix[SrcModel],MATCH($B81,xx_matrix[command],0)),"")</f>
        <v/>
      </c>
      <c r="K81" t="str">
        <f>IFERROR(INDEX(xx_matrix[SrcObject],MATCH($B81,xx_matrix[command],0)),"")</f>
        <v/>
      </c>
      <c r="L81" t="str">
        <f>IFERROR(INDEX(xx_matrix[TgtModel],MATCH($B81,xx_matrix[command],0)),"")</f>
        <v/>
      </c>
      <c r="M81" t="str">
        <f>IFERROR(INDEX(xx_matrix[TgtObject],MATCH($B81,xx_matrix[command],0)),"")</f>
        <v/>
      </c>
      <c r="N81" t="str">
        <f>IFERROR(INDEX(xx_matrix[Instructions],MATCH($B81,xx_matrix[command],0)),"")</f>
        <v/>
      </c>
    </row>
    <row r="82" spans="1:14">
      <c r="A82" s="19"/>
      <c r="D82" s="36" t="str">
        <f>IF(ISBLANK(B82),"",IF(ISERROR(MATCH(B82,xx_matrix[command],0)),FALSE,IF(ISTEXT(INDEX(xx_matrix[videoLink],MATCH(B82,xx_matrix[command],0),1)),HYPERLINK(INDEX(xx_matrix[videoLink],MATCH(B82,xx_matrix[command],0),1),"_YES_"),"YES")))</f>
        <v/>
      </c>
      <c r="J82" t="str">
        <f>IFERROR(INDEX(xx_matrix[SrcModel],MATCH($B82,xx_matrix[command],0)),"")</f>
        <v/>
      </c>
      <c r="K82" t="str">
        <f>IFERROR(INDEX(xx_matrix[SrcObject],MATCH($B82,xx_matrix[command],0)),"")</f>
        <v/>
      </c>
      <c r="L82" t="str">
        <f>IFERROR(INDEX(xx_matrix[TgtModel],MATCH($B82,xx_matrix[command],0)),"")</f>
        <v/>
      </c>
      <c r="M82" t="str">
        <f>IFERROR(INDEX(xx_matrix[TgtObject],MATCH($B82,xx_matrix[command],0)),"")</f>
        <v/>
      </c>
      <c r="N82" t="str">
        <f>IFERROR(INDEX(xx_matrix[Instructions],MATCH($B82,xx_matrix[command],0)),"")</f>
        <v/>
      </c>
    </row>
    <row r="83" spans="1:14">
      <c r="A83" s="19"/>
      <c r="D83" s="36" t="str">
        <f>IF(ISBLANK(B83),"",IF(ISERROR(MATCH(B83,xx_matrix[command],0)),FALSE,IF(ISTEXT(INDEX(xx_matrix[videoLink],MATCH(B83,xx_matrix[command],0),1)),HYPERLINK(INDEX(xx_matrix[videoLink],MATCH(B83,xx_matrix[command],0),1),"_YES_"),"YES")))</f>
        <v/>
      </c>
      <c r="J83" t="str">
        <f>IFERROR(INDEX(xx_matrix[SrcModel],MATCH($B83,xx_matrix[command],0)),"")</f>
        <v/>
      </c>
      <c r="K83" t="str">
        <f>IFERROR(INDEX(xx_matrix[SrcObject],MATCH($B83,xx_matrix[command],0)),"")</f>
        <v/>
      </c>
      <c r="L83" t="str">
        <f>IFERROR(INDEX(xx_matrix[TgtModel],MATCH($B83,xx_matrix[command],0)),"")</f>
        <v/>
      </c>
      <c r="M83" t="str">
        <f>IFERROR(INDEX(xx_matrix[TgtObject],MATCH($B83,xx_matrix[command],0)),"")</f>
        <v/>
      </c>
      <c r="N83" t="str">
        <f>IFERROR(INDEX(xx_matrix[Instructions],MATCH($B83,xx_matrix[command],0)),"")</f>
        <v/>
      </c>
    </row>
    <row r="84" spans="1:14">
      <c r="A84" s="19"/>
      <c r="D84" s="36" t="str">
        <f>IF(ISBLANK(B84),"",IF(ISERROR(MATCH(B84,xx_matrix[command],0)),FALSE,IF(ISTEXT(INDEX(xx_matrix[videoLink],MATCH(B84,xx_matrix[command],0),1)),HYPERLINK(INDEX(xx_matrix[videoLink],MATCH(B84,xx_matrix[command],0),1),"_YES_"),"YES")))</f>
        <v/>
      </c>
      <c r="J84" t="str">
        <f>IFERROR(INDEX(xx_matrix[SrcModel],MATCH($B84,xx_matrix[command],0)),"")</f>
        <v/>
      </c>
      <c r="K84" t="str">
        <f>IFERROR(INDEX(xx_matrix[SrcObject],MATCH($B84,xx_matrix[command],0)),"")</f>
        <v/>
      </c>
      <c r="L84" t="str">
        <f>IFERROR(INDEX(xx_matrix[TgtModel],MATCH($B84,xx_matrix[command],0)),"")</f>
        <v/>
      </c>
      <c r="M84" t="str">
        <f>IFERROR(INDEX(xx_matrix[TgtObject],MATCH($B84,xx_matrix[command],0)),"")</f>
        <v/>
      </c>
      <c r="N84" t="str">
        <f>IFERROR(INDEX(xx_matrix[Instructions],MATCH($B84,xx_matrix[command],0)),"")</f>
        <v/>
      </c>
    </row>
    <row r="85" spans="1:14">
      <c r="A85" s="19"/>
      <c r="D85" s="36" t="str">
        <f>IF(ISBLANK(B85),"",IF(ISERROR(MATCH(B85,xx_matrix[command],0)),FALSE,IF(ISTEXT(INDEX(xx_matrix[videoLink],MATCH(B85,xx_matrix[command],0),1)),HYPERLINK(INDEX(xx_matrix[videoLink],MATCH(B85,xx_matrix[command],0),1),"_YES_"),"YES")))</f>
        <v/>
      </c>
      <c r="J85" t="str">
        <f>IFERROR(INDEX(xx_matrix[SrcModel],MATCH($B85,xx_matrix[command],0)),"")</f>
        <v/>
      </c>
      <c r="K85" t="str">
        <f>IFERROR(INDEX(xx_matrix[SrcObject],MATCH($B85,xx_matrix[command],0)),"")</f>
        <v/>
      </c>
      <c r="L85" t="str">
        <f>IFERROR(INDEX(xx_matrix[TgtModel],MATCH($B85,xx_matrix[command],0)),"")</f>
        <v/>
      </c>
      <c r="M85" t="str">
        <f>IFERROR(INDEX(xx_matrix[TgtObject],MATCH($B85,xx_matrix[command],0)),"")</f>
        <v/>
      </c>
      <c r="N85" t="str">
        <f>IFERROR(INDEX(xx_matrix[Instructions],MATCH($B85,xx_matrix[command],0)),"")</f>
        <v/>
      </c>
    </row>
    <row r="86" spans="1:14">
      <c r="A86" s="19"/>
      <c r="D86" s="36" t="str">
        <f>IF(ISBLANK(B86),"",IF(ISERROR(MATCH(B86,xx_matrix[command],0)),FALSE,IF(ISTEXT(INDEX(xx_matrix[videoLink],MATCH(B86,xx_matrix[command],0),1)),HYPERLINK(INDEX(xx_matrix[videoLink],MATCH(B86,xx_matrix[command],0),1),"_YES_"),"YES")))</f>
        <v/>
      </c>
      <c r="J86" t="str">
        <f>IFERROR(INDEX(xx_matrix[SrcModel],MATCH($B86,xx_matrix[command],0)),"")</f>
        <v/>
      </c>
      <c r="K86" t="str">
        <f>IFERROR(INDEX(xx_matrix[SrcObject],MATCH($B86,xx_matrix[command],0)),"")</f>
        <v/>
      </c>
      <c r="L86" t="str">
        <f>IFERROR(INDEX(xx_matrix[TgtModel],MATCH($B86,xx_matrix[command],0)),"")</f>
        <v/>
      </c>
      <c r="M86" t="str">
        <f>IFERROR(INDEX(xx_matrix[TgtObject],MATCH($B86,xx_matrix[command],0)),"")</f>
        <v/>
      </c>
      <c r="N86" t="str">
        <f>IFERROR(INDEX(xx_matrix[Instructions],MATCH($B86,xx_matrix[command],0)),"")</f>
        <v/>
      </c>
    </row>
    <row r="87" spans="1:14">
      <c r="A87" s="19"/>
      <c r="D87" s="36" t="str">
        <f>IF(ISBLANK(B87),"",IF(ISERROR(MATCH(B87,xx_matrix[command],0)),FALSE,IF(ISTEXT(INDEX(xx_matrix[videoLink],MATCH(B87,xx_matrix[command],0),1)),HYPERLINK(INDEX(xx_matrix[videoLink],MATCH(B87,xx_matrix[command],0),1),"_YES_"),"YES")))</f>
        <v/>
      </c>
      <c r="J87" t="str">
        <f>IFERROR(INDEX(xx_matrix[SrcModel],MATCH($B87,xx_matrix[command],0)),"")</f>
        <v/>
      </c>
      <c r="K87" t="str">
        <f>IFERROR(INDEX(xx_matrix[SrcObject],MATCH($B87,xx_matrix[command],0)),"")</f>
        <v/>
      </c>
      <c r="L87" t="str">
        <f>IFERROR(INDEX(xx_matrix[TgtModel],MATCH($B87,xx_matrix[command],0)),"")</f>
        <v/>
      </c>
      <c r="M87" t="str">
        <f>IFERROR(INDEX(xx_matrix[TgtObject],MATCH($B87,xx_matrix[command],0)),"")</f>
        <v/>
      </c>
      <c r="N87" t="str">
        <f>IFERROR(INDEX(xx_matrix[Instructions],MATCH($B87,xx_matrix[command],0)),"")</f>
        <v/>
      </c>
    </row>
    <row r="88" spans="1:14">
      <c r="A88" s="19"/>
      <c r="D88" s="36" t="str">
        <f>IF(ISBLANK(B88),"",IF(ISERROR(MATCH(B88,xx_matrix[command],0)),FALSE,IF(ISTEXT(INDEX(xx_matrix[videoLink],MATCH(B88,xx_matrix[command],0),1)),HYPERLINK(INDEX(xx_matrix[videoLink],MATCH(B88,xx_matrix[command],0),1),"_YES_"),"YES")))</f>
        <v/>
      </c>
      <c r="J88" t="str">
        <f>IFERROR(INDEX(xx_matrix[SrcModel],MATCH($B88,xx_matrix[command],0)),"")</f>
        <v/>
      </c>
      <c r="K88" t="str">
        <f>IFERROR(INDEX(xx_matrix[SrcObject],MATCH($B88,xx_matrix[command],0)),"")</f>
        <v/>
      </c>
      <c r="L88" t="str">
        <f>IFERROR(INDEX(xx_matrix[TgtModel],MATCH($B88,xx_matrix[command],0)),"")</f>
        <v/>
      </c>
      <c r="M88" t="str">
        <f>IFERROR(INDEX(xx_matrix[TgtObject],MATCH($B88,xx_matrix[command],0)),"")</f>
        <v/>
      </c>
      <c r="N88" t="str">
        <f>IFERROR(INDEX(xx_matrix[Instructions],MATCH($B88,xx_matrix[command],0)),"")</f>
        <v/>
      </c>
    </row>
    <row r="89" spans="1:14">
      <c r="A89" s="19"/>
      <c r="D89" s="36" t="str">
        <f>IF(ISBLANK(B89),"",IF(ISERROR(MATCH(B89,xx_matrix[command],0)),FALSE,IF(ISTEXT(INDEX(xx_matrix[videoLink],MATCH(B89,xx_matrix[command],0),1)),HYPERLINK(INDEX(xx_matrix[videoLink],MATCH(B89,xx_matrix[command],0),1),"_YES_"),"YES")))</f>
        <v/>
      </c>
      <c r="J89" t="str">
        <f>IFERROR(INDEX(xx_matrix[SrcModel],MATCH($B89,xx_matrix[command],0)),"")</f>
        <v/>
      </c>
      <c r="K89" t="str">
        <f>IFERROR(INDEX(xx_matrix[SrcObject],MATCH($B89,xx_matrix[command],0)),"")</f>
        <v/>
      </c>
      <c r="L89" t="str">
        <f>IFERROR(INDEX(xx_matrix[TgtModel],MATCH($B89,xx_matrix[command],0)),"")</f>
        <v/>
      </c>
      <c r="M89" t="str">
        <f>IFERROR(INDEX(xx_matrix[TgtObject],MATCH($B89,xx_matrix[command],0)),"")</f>
        <v/>
      </c>
      <c r="N89" t="str">
        <f>IFERROR(INDEX(xx_matrix[Instructions],MATCH($B89,xx_matrix[command],0)),"")</f>
        <v/>
      </c>
    </row>
    <row r="90" spans="1:14">
      <c r="A90" s="19"/>
      <c r="D90" s="36" t="str">
        <f>IF(ISBLANK(B90),"",IF(ISERROR(MATCH(B90,xx_matrix[command],0)),FALSE,IF(ISTEXT(INDEX(xx_matrix[videoLink],MATCH(B90,xx_matrix[command],0),1)),HYPERLINK(INDEX(xx_matrix[videoLink],MATCH(B90,xx_matrix[command],0),1),"_YES_"),"YES")))</f>
        <v/>
      </c>
      <c r="J90" t="str">
        <f>IFERROR(INDEX(xx_matrix[SrcModel],MATCH($B90,xx_matrix[command],0)),"")</f>
        <v/>
      </c>
      <c r="K90" t="str">
        <f>IFERROR(INDEX(xx_matrix[SrcObject],MATCH($B90,xx_matrix[command],0)),"")</f>
        <v/>
      </c>
      <c r="L90" t="str">
        <f>IFERROR(INDEX(xx_matrix[TgtModel],MATCH($B90,xx_matrix[command],0)),"")</f>
        <v/>
      </c>
      <c r="M90" t="str">
        <f>IFERROR(INDEX(xx_matrix[TgtObject],MATCH($B90,xx_matrix[command],0)),"")</f>
        <v/>
      </c>
      <c r="N90" t="str">
        <f>IFERROR(INDEX(xx_matrix[Instructions],MATCH($B90,xx_matrix[command],0)),"")</f>
        <v/>
      </c>
    </row>
    <row r="91" spans="1:14">
      <c r="A91" s="19"/>
      <c r="D91" s="36" t="str">
        <f>IF(ISBLANK(B91),"",IF(ISERROR(MATCH(B91,xx_matrix[command],0)),FALSE,IF(ISTEXT(INDEX(xx_matrix[videoLink],MATCH(B91,xx_matrix[command],0),1)),HYPERLINK(INDEX(xx_matrix[videoLink],MATCH(B91,xx_matrix[command],0),1),"_YES_"),"YES")))</f>
        <v/>
      </c>
      <c r="J91" t="str">
        <f>IFERROR(INDEX(xx_matrix[SrcModel],MATCH($B91,xx_matrix[command],0)),"")</f>
        <v/>
      </c>
      <c r="K91" t="str">
        <f>IFERROR(INDEX(xx_matrix[SrcObject],MATCH($B91,xx_matrix[command],0)),"")</f>
        <v/>
      </c>
      <c r="L91" t="str">
        <f>IFERROR(INDEX(xx_matrix[TgtModel],MATCH($B91,xx_matrix[command],0)),"")</f>
        <v/>
      </c>
      <c r="M91" t="str">
        <f>IFERROR(INDEX(xx_matrix[TgtObject],MATCH($B91,xx_matrix[command],0)),"")</f>
        <v/>
      </c>
      <c r="N91" t="str">
        <f>IFERROR(INDEX(xx_matrix[Instructions],MATCH($B91,xx_matrix[command],0)),"")</f>
        <v/>
      </c>
    </row>
    <row r="92" spans="1:14">
      <c r="A92" s="19"/>
      <c r="D92" s="36" t="str">
        <f>IF(ISBLANK(B92),"",IF(ISERROR(MATCH(B92,xx_matrix[command],0)),FALSE,IF(ISTEXT(INDEX(xx_matrix[videoLink],MATCH(B92,xx_matrix[command],0),1)),HYPERLINK(INDEX(xx_matrix[videoLink],MATCH(B92,xx_matrix[command],0),1),"_YES_"),"YES")))</f>
        <v/>
      </c>
      <c r="J92" t="str">
        <f>IFERROR(INDEX(xx_matrix[SrcModel],MATCH($B92,xx_matrix[command],0)),"")</f>
        <v/>
      </c>
      <c r="K92" t="str">
        <f>IFERROR(INDEX(xx_matrix[SrcObject],MATCH($B92,xx_matrix[command],0)),"")</f>
        <v/>
      </c>
      <c r="L92" t="str">
        <f>IFERROR(INDEX(xx_matrix[TgtModel],MATCH($B92,xx_matrix[command],0)),"")</f>
        <v/>
      </c>
      <c r="M92" t="str">
        <f>IFERROR(INDEX(xx_matrix[TgtObject],MATCH($B92,xx_matrix[command],0)),"")</f>
        <v/>
      </c>
      <c r="N92" t="str">
        <f>IFERROR(INDEX(xx_matrix[Instructions],MATCH($B92,xx_matrix[command],0)),"")</f>
        <v/>
      </c>
    </row>
    <row r="93" spans="1:14">
      <c r="A93" s="19"/>
      <c r="D93" s="36" t="str">
        <f>IF(ISBLANK(B93),"",IF(ISERROR(MATCH(B93,xx_matrix[command],0)),FALSE,IF(ISTEXT(INDEX(xx_matrix[videoLink],MATCH(B93,xx_matrix[command],0),1)),HYPERLINK(INDEX(xx_matrix[videoLink],MATCH(B93,xx_matrix[command],0),1),"_YES_"),"YES")))</f>
        <v/>
      </c>
      <c r="J93" t="str">
        <f>IFERROR(INDEX(xx_matrix[SrcModel],MATCH($B93,xx_matrix[command],0)),"")</f>
        <v/>
      </c>
      <c r="K93" t="str">
        <f>IFERROR(INDEX(xx_matrix[SrcObject],MATCH($B93,xx_matrix[command],0)),"")</f>
        <v/>
      </c>
      <c r="L93" t="str">
        <f>IFERROR(INDEX(xx_matrix[TgtModel],MATCH($B93,xx_matrix[command],0)),"")</f>
        <v/>
      </c>
      <c r="M93" t="str">
        <f>IFERROR(INDEX(xx_matrix[TgtObject],MATCH($B93,xx_matrix[command],0)),"")</f>
        <v/>
      </c>
      <c r="N93" t="str">
        <f>IFERROR(INDEX(xx_matrix[Instructions],MATCH($B93,xx_matrix[command],0)),"")</f>
        <v/>
      </c>
    </row>
    <row r="94" spans="1:14">
      <c r="A94" s="19"/>
      <c r="D94" s="36" t="str">
        <f>IF(ISBLANK(B94),"",IF(ISERROR(MATCH(B94,xx_matrix[command],0)),FALSE,IF(ISTEXT(INDEX(xx_matrix[videoLink],MATCH(B94,xx_matrix[command],0),1)),HYPERLINK(INDEX(xx_matrix[videoLink],MATCH(B94,xx_matrix[command],0),1),"_YES_"),"YES")))</f>
        <v/>
      </c>
      <c r="J94" t="str">
        <f>IFERROR(INDEX(xx_matrix[SrcModel],MATCH($B94,xx_matrix[command],0)),"")</f>
        <v/>
      </c>
      <c r="K94" t="str">
        <f>IFERROR(INDEX(xx_matrix[SrcObject],MATCH($B94,xx_matrix[command],0)),"")</f>
        <v/>
      </c>
      <c r="L94" t="str">
        <f>IFERROR(INDEX(xx_matrix[TgtModel],MATCH($B94,xx_matrix[command],0)),"")</f>
        <v/>
      </c>
      <c r="M94" t="str">
        <f>IFERROR(INDEX(xx_matrix[TgtObject],MATCH($B94,xx_matrix[command],0)),"")</f>
        <v/>
      </c>
      <c r="N94" t="str">
        <f>IFERROR(INDEX(xx_matrix[Instructions],MATCH($B94,xx_matrix[command],0)),"")</f>
        <v/>
      </c>
    </row>
    <row r="95" spans="1:14">
      <c r="A95" s="19"/>
      <c r="D95" s="36" t="str">
        <f>IF(ISBLANK(B95),"",IF(ISERROR(MATCH(B95,xx_matrix[command],0)),FALSE,IF(ISTEXT(INDEX(xx_matrix[videoLink],MATCH(B95,xx_matrix[command],0),1)),HYPERLINK(INDEX(xx_matrix[videoLink],MATCH(B95,xx_matrix[command],0),1),"_YES_"),"YES")))</f>
        <v/>
      </c>
      <c r="J95" t="str">
        <f>IFERROR(INDEX(xx_matrix[SrcModel],MATCH($B95,xx_matrix[command],0)),"")</f>
        <v/>
      </c>
      <c r="K95" t="str">
        <f>IFERROR(INDEX(xx_matrix[SrcObject],MATCH($B95,xx_matrix[command],0)),"")</f>
        <v/>
      </c>
      <c r="L95" t="str">
        <f>IFERROR(INDEX(xx_matrix[TgtModel],MATCH($B95,xx_matrix[command],0)),"")</f>
        <v/>
      </c>
      <c r="M95" t="str">
        <f>IFERROR(INDEX(xx_matrix[TgtObject],MATCH($B95,xx_matrix[command],0)),"")</f>
        <v/>
      </c>
      <c r="N95" t="str">
        <f>IFERROR(INDEX(xx_matrix[Instructions],MATCH($B95,xx_matrix[command],0)),"")</f>
        <v/>
      </c>
    </row>
    <row r="96" spans="1:14">
      <c r="A96" s="19"/>
      <c r="D96" s="36" t="str">
        <f>IF(ISBLANK(B96),"",IF(ISERROR(MATCH(B96,xx_matrix[command],0)),FALSE,IF(ISTEXT(INDEX(xx_matrix[videoLink],MATCH(B96,xx_matrix[command],0),1)),HYPERLINK(INDEX(xx_matrix[videoLink],MATCH(B96,xx_matrix[command],0),1),"_YES_"),"YES")))</f>
        <v/>
      </c>
      <c r="J96" t="str">
        <f>IFERROR(INDEX(xx_matrix[SrcModel],MATCH($B96,xx_matrix[command],0)),"")</f>
        <v/>
      </c>
      <c r="K96" t="str">
        <f>IFERROR(INDEX(xx_matrix[SrcObject],MATCH($B96,xx_matrix[command],0)),"")</f>
        <v/>
      </c>
      <c r="L96" t="str">
        <f>IFERROR(INDEX(xx_matrix[TgtModel],MATCH($B96,xx_matrix[command],0)),"")</f>
        <v/>
      </c>
      <c r="M96" t="str">
        <f>IFERROR(INDEX(xx_matrix[TgtObject],MATCH($B96,xx_matrix[command],0)),"")</f>
        <v/>
      </c>
      <c r="N96" t="str">
        <f>IFERROR(INDEX(xx_matrix[Instructions],MATCH($B96,xx_matrix[command],0)),"")</f>
        <v/>
      </c>
    </row>
    <row r="97" spans="1:14">
      <c r="A97" s="19"/>
      <c r="D97" s="36" t="str">
        <f>IF(ISBLANK(B97),"",IF(ISERROR(MATCH(B97,xx_matrix[command],0)),FALSE,IF(ISTEXT(INDEX(xx_matrix[videoLink],MATCH(B97,xx_matrix[command],0),1)),HYPERLINK(INDEX(xx_matrix[videoLink],MATCH(B97,xx_matrix[command],0),1),"_YES_"),"YES")))</f>
        <v/>
      </c>
      <c r="J97" t="str">
        <f>IFERROR(INDEX(xx_matrix[SrcModel],MATCH($B97,xx_matrix[command],0)),"")</f>
        <v/>
      </c>
      <c r="K97" t="str">
        <f>IFERROR(INDEX(xx_matrix[SrcObject],MATCH($B97,xx_matrix[command],0)),"")</f>
        <v/>
      </c>
      <c r="L97" t="str">
        <f>IFERROR(INDEX(xx_matrix[TgtModel],MATCH($B97,xx_matrix[command],0)),"")</f>
        <v/>
      </c>
      <c r="M97" t="str">
        <f>IFERROR(INDEX(xx_matrix[TgtObject],MATCH($B97,xx_matrix[command],0)),"")</f>
        <v/>
      </c>
      <c r="N97" t="str">
        <f>IFERROR(INDEX(xx_matrix[Instructions],MATCH($B97,xx_matrix[command],0)),"")</f>
        <v/>
      </c>
    </row>
    <row r="98" spans="1:14">
      <c r="A98" s="19"/>
      <c r="D98" s="36" t="str">
        <f>IF(ISBLANK(B98),"",IF(ISERROR(MATCH(B98,xx_matrix[command],0)),FALSE,IF(ISTEXT(INDEX(xx_matrix[videoLink],MATCH(B98,xx_matrix[command],0),1)),HYPERLINK(INDEX(xx_matrix[videoLink],MATCH(B98,xx_matrix[command],0),1),"_YES_"),"YES")))</f>
        <v/>
      </c>
      <c r="J98" t="str">
        <f>IFERROR(INDEX(xx_matrix[SrcModel],MATCH($B98,xx_matrix[command],0)),"")</f>
        <v/>
      </c>
      <c r="K98" t="str">
        <f>IFERROR(INDEX(xx_matrix[SrcObject],MATCH($B98,xx_matrix[command],0)),"")</f>
        <v/>
      </c>
      <c r="L98" t="str">
        <f>IFERROR(INDEX(xx_matrix[TgtModel],MATCH($B98,xx_matrix[command],0)),"")</f>
        <v/>
      </c>
      <c r="M98" t="str">
        <f>IFERROR(INDEX(xx_matrix[TgtObject],MATCH($B98,xx_matrix[command],0)),"")</f>
        <v/>
      </c>
      <c r="N98" t="str">
        <f>IFERROR(INDEX(xx_matrix[Instructions],MATCH($B98,xx_matrix[command],0)),"")</f>
        <v/>
      </c>
    </row>
    <row r="99" spans="1:14">
      <c r="A99" s="19"/>
      <c r="D99" s="36" t="str">
        <f>IF(ISBLANK(B99),"",IF(ISERROR(MATCH(B99,xx_matrix[command],0)),FALSE,IF(ISTEXT(INDEX(xx_matrix[videoLink],MATCH(B99,xx_matrix[command],0),1)),HYPERLINK(INDEX(xx_matrix[videoLink],MATCH(B99,xx_matrix[command],0),1),"_YES_"),"YES")))</f>
        <v/>
      </c>
      <c r="J99" t="str">
        <f>IFERROR(INDEX(xx_matrix[SrcModel],MATCH($B99,xx_matrix[command],0)),"")</f>
        <v/>
      </c>
      <c r="K99" t="str">
        <f>IFERROR(INDEX(xx_matrix[SrcObject],MATCH($B99,xx_matrix[command],0)),"")</f>
        <v/>
      </c>
      <c r="L99" t="str">
        <f>IFERROR(INDEX(xx_matrix[TgtModel],MATCH($B99,xx_matrix[command],0)),"")</f>
        <v/>
      </c>
      <c r="M99" t="str">
        <f>IFERROR(INDEX(xx_matrix[TgtObject],MATCH($B99,xx_matrix[command],0)),"")</f>
        <v/>
      </c>
      <c r="N99" t="str">
        <f>IFERROR(INDEX(xx_matrix[Instructions],MATCH($B99,xx_matrix[command],0)),"")</f>
        <v/>
      </c>
    </row>
    <row r="100" spans="1:14">
      <c r="A100" s="19"/>
      <c r="D100" s="36" t="str">
        <f>IF(ISBLANK(B100),"",IF(ISERROR(MATCH(B100,xx_matrix[command],0)),FALSE,IF(ISTEXT(INDEX(xx_matrix[videoLink],MATCH(B100,xx_matrix[command],0),1)),HYPERLINK(INDEX(xx_matrix[videoLink],MATCH(B100,xx_matrix[command],0),1),"_YES_"),"YES")))</f>
        <v/>
      </c>
      <c r="J100" t="str">
        <f>IFERROR(INDEX(xx_matrix[SrcModel],MATCH($B100,xx_matrix[command],0)),"")</f>
        <v/>
      </c>
      <c r="K100" t="str">
        <f>IFERROR(INDEX(xx_matrix[SrcObject],MATCH($B100,xx_matrix[command],0)),"")</f>
        <v/>
      </c>
      <c r="L100" t="str">
        <f>IFERROR(INDEX(xx_matrix[TgtModel],MATCH($B100,xx_matrix[command],0)),"")</f>
        <v/>
      </c>
      <c r="M100" t="str">
        <f>IFERROR(INDEX(xx_matrix[TgtObject],MATCH($B100,xx_matrix[command],0)),"")</f>
        <v/>
      </c>
      <c r="N100" t="str">
        <f>IFERROR(INDEX(xx_matrix[Instructions],MATCH($B100,xx_matrix[command],0)),"")</f>
        <v/>
      </c>
    </row>
    <row r="101" spans="1:14">
      <c r="A101" s="19"/>
      <c r="D101" s="36" t="str">
        <f>IF(ISBLANK(B101),"",IF(ISERROR(MATCH(B101,xx_matrix[command],0)),FALSE,IF(ISTEXT(INDEX(xx_matrix[videoLink],MATCH(B101,xx_matrix[command],0),1)),HYPERLINK(INDEX(xx_matrix[videoLink],MATCH(B101,xx_matrix[command],0),1),"_YES_"),"YES")))</f>
        <v/>
      </c>
      <c r="J101" t="str">
        <f>IFERROR(INDEX(xx_matrix[SrcModel],MATCH($B101,xx_matrix[command],0)),"")</f>
        <v/>
      </c>
      <c r="K101" t="str">
        <f>IFERROR(INDEX(xx_matrix[SrcObject],MATCH($B101,xx_matrix[command],0)),"")</f>
        <v/>
      </c>
      <c r="L101" t="str">
        <f>IFERROR(INDEX(xx_matrix[TgtModel],MATCH($B101,xx_matrix[command],0)),"")</f>
        <v/>
      </c>
      <c r="M101" t="str">
        <f>IFERROR(INDEX(xx_matrix[TgtObject],MATCH($B101,xx_matrix[command],0)),"")</f>
        <v/>
      </c>
      <c r="N101" t="str">
        <f>IFERROR(INDEX(xx_matrix[Instructions],MATCH($B101,xx_matrix[command],0)),"")</f>
        <v/>
      </c>
    </row>
    <row r="102" spans="1:14">
      <c r="A102" s="19"/>
      <c r="D102" s="36" t="str">
        <f>IF(ISBLANK(B102),"",IF(ISERROR(MATCH(B102,xx_matrix[command],0)),FALSE,IF(ISTEXT(INDEX(xx_matrix[videoLink],MATCH(B102,xx_matrix[command],0),1)),HYPERLINK(INDEX(xx_matrix[videoLink],MATCH(B102,xx_matrix[command],0),1),"_YES_"),"YES")))</f>
        <v/>
      </c>
      <c r="J102" t="str">
        <f>IFERROR(INDEX(xx_matrix[SrcModel],MATCH($B102,xx_matrix[command],0)),"")</f>
        <v/>
      </c>
      <c r="K102" t="str">
        <f>IFERROR(INDEX(xx_matrix[SrcObject],MATCH($B102,xx_matrix[command],0)),"")</f>
        <v/>
      </c>
      <c r="L102" t="str">
        <f>IFERROR(INDEX(xx_matrix[TgtModel],MATCH($B102,xx_matrix[command],0)),"")</f>
        <v/>
      </c>
      <c r="M102" t="str">
        <f>IFERROR(INDEX(xx_matrix[TgtObject],MATCH($B102,xx_matrix[command],0)),"")</f>
        <v/>
      </c>
      <c r="N102" t="str">
        <f>IFERROR(INDEX(xx_matrix[Instructions],MATCH($B102,xx_matrix[command],0)),"")</f>
        <v/>
      </c>
    </row>
    <row r="103" spans="1:14">
      <c r="A103" s="19"/>
      <c r="D103" s="36" t="str">
        <f>IF(ISBLANK(B103),"",IF(ISERROR(MATCH(B103,xx_matrix[command],0)),FALSE,IF(ISTEXT(INDEX(xx_matrix[videoLink],MATCH(B103,xx_matrix[command],0),1)),HYPERLINK(INDEX(xx_matrix[videoLink],MATCH(B103,xx_matrix[command],0),1),"_YES_"),"YES")))</f>
        <v/>
      </c>
      <c r="J103" t="str">
        <f>IFERROR(INDEX(xx_matrix[SrcModel],MATCH($B103,xx_matrix[command],0)),"")</f>
        <v/>
      </c>
      <c r="K103" t="str">
        <f>IFERROR(INDEX(xx_matrix[SrcObject],MATCH($B103,xx_matrix[command],0)),"")</f>
        <v/>
      </c>
      <c r="L103" t="str">
        <f>IFERROR(INDEX(xx_matrix[TgtModel],MATCH($B103,xx_matrix[command],0)),"")</f>
        <v/>
      </c>
      <c r="M103" t="str">
        <f>IFERROR(INDEX(xx_matrix[TgtObject],MATCH($B103,xx_matrix[command],0)),"")</f>
        <v/>
      </c>
      <c r="N103" t="str">
        <f>IFERROR(INDEX(xx_matrix[Instructions],MATCH($B103,xx_matrix[command],0)),"")</f>
        <v/>
      </c>
    </row>
    <row r="104" spans="1:14">
      <c r="A104" s="19"/>
      <c r="D104" s="36" t="str">
        <f>IF(ISBLANK(B104),"",IF(ISERROR(MATCH(B104,xx_matrix[command],0)),FALSE,IF(ISTEXT(INDEX(xx_matrix[videoLink],MATCH(B104,xx_matrix[command],0),1)),HYPERLINK(INDEX(xx_matrix[videoLink],MATCH(B104,xx_matrix[command],0),1),"_YES_"),"YES")))</f>
        <v/>
      </c>
      <c r="J104" t="str">
        <f>IFERROR(INDEX(xx_matrix[SrcModel],MATCH($B104,xx_matrix[command],0)),"")</f>
        <v/>
      </c>
      <c r="K104" t="str">
        <f>IFERROR(INDEX(xx_matrix[SrcObject],MATCH($B104,xx_matrix[command],0)),"")</f>
        <v/>
      </c>
      <c r="L104" t="str">
        <f>IFERROR(INDEX(xx_matrix[TgtModel],MATCH($B104,xx_matrix[command],0)),"")</f>
        <v/>
      </c>
      <c r="M104" t="str">
        <f>IFERROR(INDEX(xx_matrix[TgtObject],MATCH($B104,xx_matrix[command],0)),"")</f>
        <v/>
      </c>
      <c r="N104" t="str">
        <f>IFERROR(INDEX(xx_matrix[Instructions],MATCH($B104,xx_matrix[command],0)),"")</f>
        <v/>
      </c>
    </row>
    <row r="105" spans="1:14">
      <c r="A105" s="19"/>
      <c r="D105" s="36" t="str">
        <f>IF(ISBLANK(B105),"",IF(ISERROR(MATCH(B105,xx_matrix[command],0)),FALSE,IF(ISTEXT(INDEX(xx_matrix[videoLink],MATCH(B105,xx_matrix[command],0),1)),HYPERLINK(INDEX(xx_matrix[videoLink],MATCH(B105,xx_matrix[command],0),1),"_YES_"),"YES")))</f>
        <v/>
      </c>
      <c r="J105" t="str">
        <f>IFERROR(INDEX(xx_matrix[SrcModel],MATCH($B105,xx_matrix[command],0)),"")</f>
        <v/>
      </c>
      <c r="K105" t="str">
        <f>IFERROR(INDEX(xx_matrix[SrcObject],MATCH($B105,xx_matrix[command],0)),"")</f>
        <v/>
      </c>
      <c r="L105" t="str">
        <f>IFERROR(INDEX(xx_matrix[TgtModel],MATCH($B105,xx_matrix[command],0)),"")</f>
        <v/>
      </c>
      <c r="M105" t="str">
        <f>IFERROR(INDEX(xx_matrix[TgtObject],MATCH($B105,xx_matrix[command],0)),"")</f>
        <v/>
      </c>
      <c r="N105" t="str">
        <f>IFERROR(INDEX(xx_matrix[Instructions],MATCH($B105,xx_matrix[command],0)),"")</f>
        <v/>
      </c>
    </row>
    <row r="106" spans="1:14">
      <c r="A106" s="19"/>
      <c r="D106" s="36" t="str">
        <f>IF(ISBLANK(B106),"",IF(ISERROR(MATCH(B106,xx_matrix[command],0)),FALSE,IF(ISTEXT(INDEX(xx_matrix[videoLink],MATCH(B106,xx_matrix[command],0),1)),HYPERLINK(INDEX(xx_matrix[videoLink],MATCH(B106,xx_matrix[command],0),1),"_YES_"),"YES")))</f>
        <v/>
      </c>
      <c r="J106" t="str">
        <f>IFERROR(INDEX(xx_matrix[SrcModel],MATCH($B106,xx_matrix[command],0)),"")</f>
        <v/>
      </c>
      <c r="K106" t="str">
        <f>IFERROR(INDEX(xx_matrix[SrcObject],MATCH($B106,xx_matrix[command],0)),"")</f>
        <v/>
      </c>
      <c r="L106" t="str">
        <f>IFERROR(INDEX(xx_matrix[TgtModel],MATCH($B106,xx_matrix[command],0)),"")</f>
        <v/>
      </c>
      <c r="M106" t="str">
        <f>IFERROR(INDEX(xx_matrix[TgtObject],MATCH($B106,xx_matrix[command],0)),"")</f>
        <v/>
      </c>
      <c r="N106" t="str">
        <f>IFERROR(INDEX(xx_matrix[Instructions],MATCH($B106,xx_matrix[command],0)),"")</f>
        <v/>
      </c>
    </row>
    <row r="107" spans="1:14">
      <c r="A107" s="19"/>
      <c r="D107" s="36" t="str">
        <f>IF(ISBLANK(B107),"",IF(ISERROR(MATCH(B107,xx_matrix[command],0)),FALSE,IF(ISTEXT(INDEX(xx_matrix[videoLink],MATCH(B107,xx_matrix[command],0),1)),HYPERLINK(INDEX(xx_matrix[videoLink],MATCH(B107,xx_matrix[command],0),1),"_YES_"),"YES")))</f>
        <v/>
      </c>
      <c r="J107" t="str">
        <f>IFERROR(INDEX(xx_matrix[SrcModel],MATCH($B107,xx_matrix[command],0)),"")</f>
        <v/>
      </c>
      <c r="K107" t="str">
        <f>IFERROR(INDEX(xx_matrix[SrcObject],MATCH($B107,xx_matrix[command],0)),"")</f>
        <v/>
      </c>
      <c r="L107" t="str">
        <f>IFERROR(INDEX(xx_matrix[TgtModel],MATCH($B107,xx_matrix[command],0)),"")</f>
        <v/>
      </c>
      <c r="M107" t="str">
        <f>IFERROR(INDEX(xx_matrix[TgtObject],MATCH($B107,xx_matrix[command],0)),"")</f>
        <v/>
      </c>
      <c r="N107" t="str">
        <f>IFERROR(INDEX(xx_matrix[Instructions],MATCH($B107,xx_matrix[command],0)),"")</f>
        <v/>
      </c>
    </row>
    <row r="108" spans="1:14">
      <c r="A108" s="19"/>
      <c r="D108" s="36" t="str">
        <f>IF(ISBLANK(B108),"",IF(ISERROR(MATCH(B108,xx_matrix[command],0)),FALSE,IF(ISTEXT(INDEX(xx_matrix[videoLink],MATCH(B108,xx_matrix[command],0),1)),HYPERLINK(INDEX(xx_matrix[videoLink],MATCH(B108,xx_matrix[command],0),1),"_YES_"),"YES")))</f>
        <v/>
      </c>
      <c r="J108" t="str">
        <f>IFERROR(INDEX(xx_matrix[SrcModel],MATCH($B108,xx_matrix[command],0)),"")</f>
        <v/>
      </c>
      <c r="K108" t="str">
        <f>IFERROR(INDEX(xx_matrix[SrcObject],MATCH($B108,xx_matrix[command],0)),"")</f>
        <v/>
      </c>
      <c r="L108" t="str">
        <f>IFERROR(INDEX(xx_matrix[TgtModel],MATCH($B108,xx_matrix[command],0)),"")</f>
        <v/>
      </c>
      <c r="M108" t="str">
        <f>IFERROR(INDEX(xx_matrix[TgtObject],MATCH($B108,xx_matrix[command],0)),"")</f>
        <v/>
      </c>
      <c r="N108" t="str">
        <f>IFERROR(INDEX(xx_matrix[Instructions],MATCH($B108,xx_matrix[command],0)),"")</f>
        <v/>
      </c>
    </row>
    <row r="109" spans="1:14">
      <c r="A109" s="19"/>
      <c r="D109" s="36" t="str">
        <f>IF(ISBLANK(B109),"",IF(ISERROR(MATCH(B109,xx_matrix[command],0)),FALSE,IF(ISTEXT(INDEX(xx_matrix[videoLink],MATCH(B109,xx_matrix[command],0),1)),HYPERLINK(INDEX(xx_matrix[videoLink],MATCH(B109,xx_matrix[command],0),1),"_YES_"),"YES")))</f>
        <v/>
      </c>
      <c r="J109" t="str">
        <f>IFERROR(INDEX(xx_matrix[SrcModel],MATCH($B109,xx_matrix[command],0)),"")</f>
        <v/>
      </c>
      <c r="K109" t="str">
        <f>IFERROR(INDEX(xx_matrix[SrcObject],MATCH($B109,xx_matrix[command],0)),"")</f>
        <v/>
      </c>
      <c r="L109" t="str">
        <f>IFERROR(INDEX(xx_matrix[TgtModel],MATCH($B109,xx_matrix[command],0)),"")</f>
        <v/>
      </c>
      <c r="M109" t="str">
        <f>IFERROR(INDEX(xx_matrix[TgtObject],MATCH($B109,xx_matrix[command],0)),"")</f>
        <v/>
      </c>
      <c r="N109" t="str">
        <f>IFERROR(INDEX(xx_matrix[Instructions],MATCH($B109,xx_matrix[command],0)),"")</f>
        <v/>
      </c>
    </row>
    <row r="110" spans="1:14">
      <c r="A110" s="19"/>
      <c r="D110" s="36" t="str">
        <f>IF(ISBLANK(B110),"",IF(ISERROR(MATCH(B110,xx_matrix[command],0)),FALSE,IF(ISTEXT(INDEX(xx_matrix[videoLink],MATCH(B110,xx_matrix[command],0),1)),HYPERLINK(INDEX(xx_matrix[videoLink],MATCH(B110,xx_matrix[command],0),1),"_YES_"),"YES")))</f>
        <v/>
      </c>
      <c r="J110" t="str">
        <f>IFERROR(INDEX(xx_matrix[SrcModel],MATCH($B110,xx_matrix[command],0)),"")</f>
        <v/>
      </c>
      <c r="K110" t="str">
        <f>IFERROR(INDEX(xx_matrix[SrcObject],MATCH($B110,xx_matrix[command],0)),"")</f>
        <v/>
      </c>
      <c r="L110" t="str">
        <f>IFERROR(INDEX(xx_matrix[TgtModel],MATCH($B110,xx_matrix[command],0)),"")</f>
        <v/>
      </c>
      <c r="M110" t="str">
        <f>IFERROR(INDEX(xx_matrix[TgtObject],MATCH($B110,xx_matrix[command],0)),"")</f>
        <v/>
      </c>
      <c r="N110" t="str">
        <f>IFERROR(INDEX(xx_matrix[Instructions],MATCH($B110,xx_matrix[command],0)),"")</f>
        <v/>
      </c>
    </row>
    <row r="111" spans="1:14">
      <c r="A111" s="19"/>
      <c r="D111" s="36" t="str">
        <f>IF(ISBLANK(B111),"",IF(ISERROR(MATCH(B111,xx_matrix[command],0)),FALSE,IF(ISTEXT(INDEX(xx_matrix[videoLink],MATCH(B111,xx_matrix[command],0),1)),HYPERLINK(INDEX(xx_matrix[videoLink],MATCH(B111,xx_matrix[command],0),1),"_YES_"),"YES")))</f>
        <v/>
      </c>
      <c r="J111" t="str">
        <f>IFERROR(INDEX(xx_matrix[SrcModel],MATCH($B111,xx_matrix[command],0)),"")</f>
        <v/>
      </c>
      <c r="K111" t="str">
        <f>IFERROR(INDEX(xx_matrix[SrcObject],MATCH($B111,xx_matrix[command],0)),"")</f>
        <v/>
      </c>
      <c r="L111" t="str">
        <f>IFERROR(INDEX(xx_matrix[TgtModel],MATCH($B111,xx_matrix[command],0)),"")</f>
        <v/>
      </c>
      <c r="M111" t="str">
        <f>IFERROR(INDEX(xx_matrix[TgtObject],MATCH($B111,xx_matrix[command],0)),"")</f>
        <v/>
      </c>
      <c r="N111" t="str">
        <f>IFERROR(INDEX(xx_matrix[Instructions],MATCH($B111,xx_matrix[command],0)),"")</f>
        <v/>
      </c>
    </row>
    <row r="112" spans="1:14">
      <c r="A112" s="19"/>
      <c r="D112" s="36" t="str">
        <f>IF(ISBLANK(B112),"",IF(ISERROR(MATCH(B112,xx_matrix[command],0)),FALSE,IF(ISTEXT(INDEX(xx_matrix[videoLink],MATCH(B112,xx_matrix[command],0),1)),HYPERLINK(INDEX(xx_matrix[videoLink],MATCH(B112,xx_matrix[command],0),1),"_YES_"),"YES")))</f>
        <v/>
      </c>
      <c r="J112" t="str">
        <f>IFERROR(INDEX(xx_matrix[SrcModel],MATCH($B112,xx_matrix[command],0)),"")</f>
        <v/>
      </c>
      <c r="K112" t="str">
        <f>IFERROR(INDEX(xx_matrix[SrcObject],MATCH($B112,xx_matrix[command],0)),"")</f>
        <v/>
      </c>
      <c r="L112" t="str">
        <f>IFERROR(INDEX(xx_matrix[TgtModel],MATCH($B112,xx_matrix[command],0)),"")</f>
        <v/>
      </c>
      <c r="M112" t="str">
        <f>IFERROR(INDEX(xx_matrix[TgtObject],MATCH($B112,xx_matrix[command],0)),"")</f>
        <v/>
      </c>
      <c r="N112" t="str">
        <f>IFERROR(INDEX(xx_matrix[Instructions],MATCH($B112,xx_matrix[command],0)),"")</f>
        <v/>
      </c>
    </row>
    <row r="113" spans="1:14">
      <c r="A113" s="19"/>
      <c r="D113" s="36" t="str">
        <f>IF(ISBLANK(B113),"",IF(ISERROR(MATCH(B113,xx_matrix[command],0)),FALSE,IF(ISTEXT(INDEX(xx_matrix[videoLink],MATCH(B113,xx_matrix[command],0),1)),HYPERLINK(INDEX(xx_matrix[videoLink],MATCH(B113,xx_matrix[command],0),1),"_YES_"),"YES")))</f>
        <v/>
      </c>
      <c r="J113" t="str">
        <f>IFERROR(INDEX(xx_matrix[SrcModel],MATCH($B113,xx_matrix[command],0)),"")</f>
        <v/>
      </c>
      <c r="K113" t="str">
        <f>IFERROR(INDEX(xx_matrix[SrcObject],MATCH($B113,xx_matrix[command],0)),"")</f>
        <v/>
      </c>
      <c r="L113" t="str">
        <f>IFERROR(INDEX(xx_matrix[TgtModel],MATCH($B113,xx_matrix[command],0)),"")</f>
        <v/>
      </c>
      <c r="M113" t="str">
        <f>IFERROR(INDEX(xx_matrix[TgtObject],MATCH($B113,xx_matrix[command],0)),"")</f>
        <v/>
      </c>
      <c r="N113" t="str">
        <f>IFERROR(INDEX(xx_matrix[Instructions],MATCH($B113,xx_matrix[command],0)),"")</f>
        <v/>
      </c>
    </row>
    <row r="114" spans="1:14">
      <c r="A114" s="19"/>
      <c r="D114" s="36" t="str">
        <f>IF(ISBLANK(B114),"",IF(ISERROR(MATCH(B114,xx_matrix[command],0)),FALSE,IF(ISTEXT(INDEX(xx_matrix[videoLink],MATCH(B114,xx_matrix[command],0),1)),HYPERLINK(INDEX(xx_matrix[videoLink],MATCH(B114,xx_matrix[command],0),1),"_YES_"),"YES")))</f>
        <v/>
      </c>
      <c r="J114" t="str">
        <f>IFERROR(INDEX(xx_matrix[SrcModel],MATCH($B114,xx_matrix[command],0)),"")</f>
        <v/>
      </c>
      <c r="K114" t="str">
        <f>IFERROR(INDEX(xx_matrix[SrcObject],MATCH($B114,xx_matrix[command],0)),"")</f>
        <v/>
      </c>
      <c r="L114" t="str">
        <f>IFERROR(INDEX(xx_matrix[TgtModel],MATCH($B114,xx_matrix[command],0)),"")</f>
        <v/>
      </c>
      <c r="M114" t="str">
        <f>IFERROR(INDEX(xx_matrix[TgtObject],MATCH($B114,xx_matrix[command],0)),"")</f>
        <v/>
      </c>
      <c r="N114" t="str">
        <f>IFERROR(INDEX(xx_matrix[Instructions],MATCH($B114,xx_matrix[command],0)),"")</f>
        <v/>
      </c>
    </row>
    <row r="115" spans="1:14">
      <c r="A115" s="19"/>
      <c r="D115" s="36" t="str">
        <f>IF(ISBLANK(B115),"",IF(ISERROR(MATCH(B115,xx_matrix[command],0)),FALSE,IF(ISTEXT(INDEX(xx_matrix[videoLink],MATCH(B115,xx_matrix[command],0),1)),HYPERLINK(INDEX(xx_matrix[videoLink],MATCH(B115,xx_matrix[command],0),1),"_YES_"),"YES")))</f>
        <v/>
      </c>
      <c r="J115" t="str">
        <f>IFERROR(INDEX(xx_matrix[SrcModel],MATCH($B115,xx_matrix[command],0)),"")</f>
        <v/>
      </c>
      <c r="K115" t="str">
        <f>IFERROR(INDEX(xx_matrix[SrcObject],MATCH($B115,xx_matrix[command],0)),"")</f>
        <v/>
      </c>
      <c r="L115" t="str">
        <f>IFERROR(INDEX(xx_matrix[TgtModel],MATCH($B115,xx_matrix[command],0)),"")</f>
        <v/>
      </c>
      <c r="M115" t="str">
        <f>IFERROR(INDEX(xx_matrix[TgtObject],MATCH($B115,xx_matrix[command],0)),"")</f>
        <v/>
      </c>
      <c r="N115" t="str">
        <f>IFERROR(INDEX(xx_matrix[Instructions],MATCH($B115,xx_matrix[command],0)),"")</f>
        <v/>
      </c>
    </row>
    <row r="116" spans="1:14">
      <c r="A116" s="19"/>
      <c r="D116" s="36" t="str">
        <f>IF(ISBLANK(B116),"",IF(ISERROR(MATCH(B116,xx_matrix[command],0)),FALSE,IF(ISTEXT(INDEX(xx_matrix[videoLink],MATCH(B116,xx_matrix[command],0),1)),HYPERLINK(INDEX(xx_matrix[videoLink],MATCH(B116,xx_matrix[command],0),1),"_YES_"),"YES")))</f>
        <v/>
      </c>
      <c r="J116" t="str">
        <f>IFERROR(INDEX(xx_matrix[SrcModel],MATCH($B116,xx_matrix[command],0)),"")</f>
        <v/>
      </c>
      <c r="K116" t="str">
        <f>IFERROR(INDEX(xx_matrix[SrcObject],MATCH($B116,xx_matrix[command],0)),"")</f>
        <v/>
      </c>
      <c r="L116" t="str">
        <f>IFERROR(INDEX(xx_matrix[TgtModel],MATCH($B116,xx_matrix[command],0)),"")</f>
        <v/>
      </c>
      <c r="M116" t="str">
        <f>IFERROR(INDEX(xx_matrix[TgtObject],MATCH($B116,xx_matrix[command],0)),"")</f>
        <v/>
      </c>
      <c r="N116" t="str">
        <f>IFERROR(INDEX(xx_matrix[Instructions],MATCH($B116,xx_matrix[command],0)),"")</f>
        <v/>
      </c>
    </row>
    <row r="117" spans="1:14">
      <c r="A117" s="19"/>
      <c r="D117" s="36" t="str">
        <f>IF(ISBLANK(B117),"",IF(ISERROR(MATCH(B117,xx_matrix[command],0)),FALSE,IF(ISTEXT(INDEX(xx_matrix[videoLink],MATCH(B117,xx_matrix[command],0),1)),HYPERLINK(INDEX(xx_matrix[videoLink],MATCH(B117,xx_matrix[command],0),1),"_YES_"),"YES")))</f>
        <v/>
      </c>
      <c r="J117" t="str">
        <f>IFERROR(INDEX(xx_matrix[SrcModel],MATCH($B117,xx_matrix[command],0)),"")</f>
        <v/>
      </c>
      <c r="K117" t="str">
        <f>IFERROR(INDEX(xx_matrix[SrcObject],MATCH($B117,xx_matrix[command],0)),"")</f>
        <v/>
      </c>
      <c r="L117" t="str">
        <f>IFERROR(INDEX(xx_matrix[TgtModel],MATCH($B117,xx_matrix[command],0)),"")</f>
        <v/>
      </c>
      <c r="M117" t="str">
        <f>IFERROR(INDEX(xx_matrix[TgtObject],MATCH($B117,xx_matrix[command],0)),"")</f>
        <v/>
      </c>
      <c r="N117" t="str">
        <f>IFERROR(INDEX(xx_matrix[Instructions],MATCH($B117,xx_matrix[command],0)),"")</f>
        <v/>
      </c>
    </row>
    <row r="118" spans="1:14">
      <c r="A118" s="19"/>
      <c r="D118" s="36" t="str">
        <f>IF(ISBLANK(B118),"",IF(ISERROR(MATCH(B118,xx_matrix[command],0)),FALSE,IF(ISTEXT(INDEX(xx_matrix[videoLink],MATCH(B118,xx_matrix[command],0),1)),HYPERLINK(INDEX(xx_matrix[videoLink],MATCH(B118,xx_matrix[command],0),1),"_YES_"),"YES")))</f>
        <v/>
      </c>
      <c r="J118" t="str">
        <f>IFERROR(INDEX(xx_matrix[SrcModel],MATCH($B118,xx_matrix[command],0)),"")</f>
        <v/>
      </c>
      <c r="K118" t="str">
        <f>IFERROR(INDEX(xx_matrix[SrcObject],MATCH($B118,xx_matrix[command],0)),"")</f>
        <v/>
      </c>
      <c r="L118" t="str">
        <f>IFERROR(INDEX(xx_matrix[TgtModel],MATCH($B118,xx_matrix[command],0)),"")</f>
        <v/>
      </c>
      <c r="M118" t="str">
        <f>IFERROR(INDEX(xx_matrix[TgtObject],MATCH($B118,xx_matrix[command],0)),"")</f>
        <v/>
      </c>
      <c r="N118" t="str">
        <f>IFERROR(INDEX(xx_matrix[Instructions],MATCH($B118,xx_matrix[command],0)),"")</f>
        <v/>
      </c>
    </row>
    <row r="119" spans="1:14">
      <c r="A119" s="19"/>
      <c r="D119" s="36" t="str">
        <f>IF(ISBLANK(B119),"",IF(ISERROR(MATCH(B119,xx_matrix[command],0)),FALSE,IF(ISTEXT(INDEX(xx_matrix[videoLink],MATCH(B119,xx_matrix[command],0),1)),HYPERLINK(INDEX(xx_matrix[videoLink],MATCH(B119,xx_matrix[command],0),1),"_YES_"),"YES")))</f>
        <v/>
      </c>
      <c r="J119" t="str">
        <f>IFERROR(INDEX(xx_matrix[SrcModel],MATCH($B119,xx_matrix[command],0)),"")</f>
        <v/>
      </c>
      <c r="K119" t="str">
        <f>IFERROR(INDEX(xx_matrix[SrcObject],MATCH($B119,xx_matrix[command],0)),"")</f>
        <v/>
      </c>
      <c r="L119" t="str">
        <f>IFERROR(INDEX(xx_matrix[TgtModel],MATCH($B119,xx_matrix[command],0)),"")</f>
        <v/>
      </c>
      <c r="M119" t="str">
        <f>IFERROR(INDEX(xx_matrix[TgtObject],MATCH($B119,xx_matrix[command],0)),"")</f>
        <v/>
      </c>
      <c r="N119" t="str">
        <f>IFERROR(INDEX(xx_matrix[Instructions],MATCH($B119,xx_matrix[command],0)),"")</f>
        <v/>
      </c>
    </row>
    <row r="120" spans="1:14">
      <c r="A120" s="19"/>
      <c r="D120" s="36" t="str">
        <f>IF(ISBLANK(B120),"",IF(ISERROR(MATCH(B120,xx_matrix[command],0)),FALSE,IF(ISTEXT(INDEX(xx_matrix[videoLink],MATCH(B120,xx_matrix[command],0),1)),HYPERLINK(INDEX(xx_matrix[videoLink],MATCH(B120,xx_matrix[command],0),1),"_YES_"),"YES")))</f>
        <v/>
      </c>
      <c r="J120" t="str">
        <f>IFERROR(INDEX(xx_matrix[SrcModel],MATCH($B120,xx_matrix[command],0)),"")</f>
        <v/>
      </c>
      <c r="K120" t="str">
        <f>IFERROR(INDEX(xx_matrix[SrcObject],MATCH($B120,xx_matrix[command],0)),"")</f>
        <v/>
      </c>
      <c r="L120" t="str">
        <f>IFERROR(INDEX(xx_matrix[TgtModel],MATCH($B120,xx_matrix[command],0)),"")</f>
        <v/>
      </c>
      <c r="M120" t="str">
        <f>IFERROR(INDEX(xx_matrix[TgtObject],MATCH($B120,xx_matrix[command],0)),"")</f>
        <v/>
      </c>
      <c r="N120" t="str">
        <f>IFERROR(INDEX(xx_matrix[Instructions],MATCH($B120,xx_matrix[command],0)),"")</f>
        <v/>
      </c>
    </row>
    <row r="121" spans="1:14">
      <c r="A121" s="19"/>
      <c r="D121" s="36" t="str">
        <f>IF(ISBLANK(B121),"",IF(ISERROR(MATCH(B121,xx_matrix[command],0)),FALSE,IF(ISTEXT(INDEX(xx_matrix[videoLink],MATCH(B121,xx_matrix[command],0),1)),HYPERLINK(INDEX(xx_matrix[videoLink],MATCH(B121,xx_matrix[command],0),1),"_YES_"),"YES")))</f>
        <v/>
      </c>
      <c r="J121" t="str">
        <f>IFERROR(INDEX(xx_matrix[SrcModel],MATCH($B121,xx_matrix[command],0)),"")</f>
        <v/>
      </c>
      <c r="K121" t="str">
        <f>IFERROR(INDEX(xx_matrix[SrcObject],MATCH($B121,xx_matrix[command],0)),"")</f>
        <v/>
      </c>
      <c r="L121" t="str">
        <f>IFERROR(INDEX(xx_matrix[TgtModel],MATCH($B121,xx_matrix[command],0)),"")</f>
        <v/>
      </c>
      <c r="M121" t="str">
        <f>IFERROR(INDEX(xx_matrix[TgtObject],MATCH($B121,xx_matrix[command],0)),"")</f>
        <v/>
      </c>
      <c r="N121" t="str">
        <f>IFERROR(INDEX(xx_matrix[Instructions],MATCH($B121,xx_matrix[command],0)),"")</f>
        <v/>
      </c>
    </row>
    <row r="122" spans="1:14">
      <c r="A122" s="19"/>
      <c r="D122" s="36" t="str">
        <f>IF(ISBLANK(B122),"",IF(ISERROR(MATCH(B122,xx_matrix[command],0)),FALSE,IF(ISTEXT(INDEX(xx_matrix[videoLink],MATCH(B122,xx_matrix[command],0),1)),HYPERLINK(INDEX(xx_matrix[videoLink],MATCH(B122,xx_matrix[command],0),1),"_YES_"),"YES")))</f>
        <v/>
      </c>
      <c r="J122" t="str">
        <f>IFERROR(INDEX(xx_matrix[SrcModel],MATCH($B122,xx_matrix[command],0)),"")</f>
        <v/>
      </c>
      <c r="K122" t="str">
        <f>IFERROR(INDEX(xx_matrix[SrcObject],MATCH($B122,xx_matrix[command],0)),"")</f>
        <v/>
      </c>
      <c r="L122" t="str">
        <f>IFERROR(INDEX(xx_matrix[TgtModel],MATCH($B122,xx_matrix[command],0)),"")</f>
        <v/>
      </c>
      <c r="M122" t="str">
        <f>IFERROR(INDEX(xx_matrix[TgtObject],MATCH($B122,xx_matrix[command],0)),"")</f>
        <v/>
      </c>
      <c r="N122" t="str">
        <f>IFERROR(INDEX(xx_matrix[Instructions],MATCH($B122,xx_matrix[command],0)),"")</f>
        <v/>
      </c>
    </row>
    <row r="123" spans="1:14">
      <c r="A123" s="19"/>
      <c r="D123" s="36" t="str">
        <f>IF(ISBLANK(B123),"",IF(ISERROR(MATCH(B123,xx_matrix[command],0)),FALSE,IF(ISTEXT(INDEX(xx_matrix[videoLink],MATCH(B123,xx_matrix[command],0),1)),HYPERLINK(INDEX(xx_matrix[videoLink],MATCH(B123,xx_matrix[command],0),1),"_YES_"),"YES")))</f>
        <v/>
      </c>
      <c r="J123" t="str">
        <f>IFERROR(INDEX(xx_matrix[SrcModel],MATCH($B123,xx_matrix[command],0)),"")</f>
        <v/>
      </c>
      <c r="K123" t="str">
        <f>IFERROR(INDEX(xx_matrix[SrcObject],MATCH($B123,xx_matrix[command],0)),"")</f>
        <v/>
      </c>
      <c r="L123" t="str">
        <f>IFERROR(INDEX(xx_matrix[TgtModel],MATCH($B123,xx_matrix[command],0)),"")</f>
        <v/>
      </c>
      <c r="M123" t="str">
        <f>IFERROR(INDEX(xx_matrix[TgtObject],MATCH($B123,xx_matrix[command],0)),"")</f>
        <v/>
      </c>
      <c r="N123" t="str">
        <f>IFERROR(INDEX(xx_matrix[Instructions],MATCH($B123,xx_matrix[command],0)),"")</f>
        <v/>
      </c>
    </row>
    <row r="124" spans="1:14">
      <c r="A124" s="19"/>
      <c r="D124" s="36" t="str">
        <f>IF(ISBLANK(B124),"",IF(ISERROR(MATCH(B124,xx_matrix[command],0)),FALSE,IF(ISTEXT(INDEX(xx_matrix[videoLink],MATCH(B124,xx_matrix[command],0),1)),HYPERLINK(INDEX(xx_matrix[videoLink],MATCH(B124,xx_matrix[command],0),1),"_YES_"),"YES")))</f>
        <v/>
      </c>
      <c r="J124" t="str">
        <f>IFERROR(INDEX(xx_matrix[SrcModel],MATCH($B124,xx_matrix[command],0)),"")</f>
        <v/>
      </c>
      <c r="K124" t="str">
        <f>IFERROR(INDEX(xx_matrix[SrcObject],MATCH($B124,xx_matrix[command],0)),"")</f>
        <v/>
      </c>
      <c r="L124" t="str">
        <f>IFERROR(INDEX(xx_matrix[TgtModel],MATCH($B124,xx_matrix[command],0)),"")</f>
        <v/>
      </c>
      <c r="M124" t="str">
        <f>IFERROR(INDEX(xx_matrix[TgtObject],MATCH($B124,xx_matrix[command],0)),"")</f>
        <v/>
      </c>
      <c r="N124" t="str">
        <f>IFERROR(INDEX(xx_matrix[Instructions],MATCH($B124,xx_matrix[command],0)),"")</f>
        <v/>
      </c>
    </row>
    <row r="125" spans="1:14">
      <c r="A125" s="19"/>
      <c r="D125" s="36" t="str">
        <f>IF(ISBLANK(B125),"",IF(ISERROR(MATCH(B125,xx_matrix[command],0)),FALSE,IF(ISTEXT(INDEX(xx_matrix[videoLink],MATCH(B125,xx_matrix[command],0),1)),HYPERLINK(INDEX(xx_matrix[videoLink],MATCH(B125,xx_matrix[command],0),1),"_YES_"),"YES")))</f>
        <v/>
      </c>
      <c r="J125" t="str">
        <f>IFERROR(INDEX(xx_matrix[SrcModel],MATCH($B125,xx_matrix[command],0)),"")</f>
        <v/>
      </c>
      <c r="K125" t="str">
        <f>IFERROR(INDEX(xx_matrix[SrcObject],MATCH($B125,xx_matrix[command],0)),"")</f>
        <v/>
      </c>
      <c r="L125" t="str">
        <f>IFERROR(INDEX(xx_matrix[TgtModel],MATCH($B125,xx_matrix[command],0)),"")</f>
        <v/>
      </c>
      <c r="M125" t="str">
        <f>IFERROR(INDEX(xx_matrix[TgtObject],MATCH($B125,xx_matrix[command],0)),"")</f>
        <v/>
      </c>
      <c r="N125" t="str">
        <f>IFERROR(INDEX(xx_matrix[Instructions],MATCH($B125,xx_matrix[command],0)),"")</f>
        <v/>
      </c>
    </row>
    <row r="126" spans="1:14">
      <c r="A126" s="19"/>
      <c r="D126" s="36" t="str">
        <f>IF(ISBLANK(B126),"",IF(ISERROR(MATCH(B126,xx_matrix[command],0)),FALSE,IF(ISTEXT(INDEX(xx_matrix[videoLink],MATCH(B126,xx_matrix[command],0),1)),HYPERLINK(INDEX(xx_matrix[videoLink],MATCH(B126,xx_matrix[command],0),1),"_YES_"),"YES")))</f>
        <v/>
      </c>
      <c r="J126" t="str">
        <f>IFERROR(INDEX(xx_matrix[SrcModel],MATCH($B126,xx_matrix[command],0)),"")</f>
        <v/>
      </c>
      <c r="K126" t="str">
        <f>IFERROR(INDEX(xx_matrix[SrcObject],MATCH($B126,xx_matrix[command],0)),"")</f>
        <v/>
      </c>
      <c r="L126" t="str">
        <f>IFERROR(INDEX(xx_matrix[TgtModel],MATCH($B126,xx_matrix[command],0)),"")</f>
        <v/>
      </c>
      <c r="M126" t="str">
        <f>IFERROR(INDEX(xx_matrix[TgtObject],MATCH($B126,xx_matrix[command],0)),"")</f>
        <v/>
      </c>
      <c r="N126" t="str">
        <f>IFERROR(INDEX(xx_matrix[Instructions],MATCH($B126,xx_matrix[command],0)),"")</f>
        <v/>
      </c>
    </row>
    <row r="127" spans="1:14">
      <c r="A127" s="19"/>
      <c r="D127" s="36" t="str">
        <f>IF(ISBLANK(B127),"",IF(ISERROR(MATCH(B127,xx_matrix[command],0)),FALSE,IF(ISTEXT(INDEX(xx_matrix[videoLink],MATCH(B127,xx_matrix[command],0),1)),HYPERLINK(INDEX(xx_matrix[videoLink],MATCH(B127,xx_matrix[command],0),1),"_YES_"),"YES")))</f>
        <v/>
      </c>
      <c r="J127" t="str">
        <f>IFERROR(INDEX(xx_matrix[SrcModel],MATCH($B127,xx_matrix[command],0)),"")</f>
        <v/>
      </c>
      <c r="K127" t="str">
        <f>IFERROR(INDEX(xx_matrix[SrcObject],MATCH($B127,xx_matrix[command],0)),"")</f>
        <v/>
      </c>
      <c r="L127" t="str">
        <f>IFERROR(INDEX(xx_matrix[TgtModel],MATCH($B127,xx_matrix[command],0)),"")</f>
        <v/>
      </c>
      <c r="M127" t="str">
        <f>IFERROR(INDEX(xx_matrix[TgtObject],MATCH($B127,xx_matrix[command],0)),"")</f>
        <v/>
      </c>
      <c r="N127" t="str">
        <f>IFERROR(INDEX(xx_matrix[Instructions],MATCH($B127,xx_matrix[command],0)),"")</f>
        <v/>
      </c>
    </row>
    <row r="128" spans="1:14">
      <c r="A128" s="19"/>
      <c r="D128" s="36" t="str">
        <f>IF(ISBLANK(B128),"",IF(ISERROR(MATCH(B128,xx_matrix[command],0)),FALSE,IF(ISTEXT(INDEX(xx_matrix[videoLink],MATCH(B128,xx_matrix[command],0),1)),HYPERLINK(INDEX(xx_matrix[videoLink],MATCH(B128,xx_matrix[command],0),1),"_YES_"),"YES")))</f>
        <v/>
      </c>
      <c r="J128" t="str">
        <f>IFERROR(INDEX(xx_matrix[SrcModel],MATCH($B128,xx_matrix[command],0)),"")</f>
        <v/>
      </c>
      <c r="K128" t="str">
        <f>IFERROR(INDEX(xx_matrix[SrcObject],MATCH($B128,xx_matrix[command],0)),"")</f>
        <v/>
      </c>
      <c r="L128" t="str">
        <f>IFERROR(INDEX(xx_matrix[TgtModel],MATCH($B128,xx_matrix[command],0)),"")</f>
        <v/>
      </c>
      <c r="M128" t="str">
        <f>IFERROR(INDEX(xx_matrix[TgtObject],MATCH($B128,xx_matrix[command],0)),"")</f>
        <v/>
      </c>
      <c r="N128" t="str">
        <f>IFERROR(INDEX(xx_matrix[Instructions],MATCH($B128,xx_matrix[command],0)),"")</f>
        <v/>
      </c>
    </row>
    <row r="129" spans="1:14">
      <c r="A129" s="19"/>
      <c r="D129" s="36" t="str">
        <f>IF(ISBLANK(B129),"",IF(ISERROR(MATCH(B129,xx_matrix[command],0)),FALSE,IF(ISTEXT(INDEX(xx_matrix[videoLink],MATCH(B129,xx_matrix[command],0),1)),HYPERLINK(INDEX(xx_matrix[videoLink],MATCH(B129,xx_matrix[command],0),1),"_YES_"),"YES")))</f>
        <v/>
      </c>
      <c r="J129" t="str">
        <f>IFERROR(INDEX(xx_matrix[SrcModel],MATCH($B129,xx_matrix[command],0)),"")</f>
        <v/>
      </c>
      <c r="K129" t="str">
        <f>IFERROR(INDEX(xx_matrix[SrcObject],MATCH($B129,xx_matrix[command],0)),"")</f>
        <v/>
      </c>
      <c r="L129" t="str">
        <f>IFERROR(INDEX(xx_matrix[TgtModel],MATCH($B129,xx_matrix[command],0)),"")</f>
        <v/>
      </c>
      <c r="M129" t="str">
        <f>IFERROR(INDEX(xx_matrix[TgtObject],MATCH($B129,xx_matrix[command],0)),"")</f>
        <v/>
      </c>
      <c r="N129" t="str">
        <f>IFERROR(INDEX(xx_matrix[Instructions],MATCH($B129,xx_matrix[command],0)),"")</f>
        <v/>
      </c>
    </row>
    <row r="130" spans="1:14">
      <c r="A130" s="19"/>
      <c r="D130" s="36" t="str">
        <f>IF(ISBLANK(B130),"",IF(ISERROR(MATCH(B130,xx_matrix[command],0)),FALSE,IF(ISTEXT(INDEX(xx_matrix[videoLink],MATCH(B130,xx_matrix[command],0),1)),HYPERLINK(INDEX(xx_matrix[videoLink],MATCH(B130,xx_matrix[command],0),1),"_YES_"),"YES")))</f>
        <v/>
      </c>
      <c r="J130" t="str">
        <f>IFERROR(INDEX(xx_matrix[SrcModel],MATCH($B130,xx_matrix[command],0)),"")</f>
        <v/>
      </c>
      <c r="K130" t="str">
        <f>IFERROR(INDEX(xx_matrix[SrcObject],MATCH($B130,xx_matrix[command],0)),"")</f>
        <v/>
      </c>
      <c r="L130" t="str">
        <f>IFERROR(INDEX(xx_matrix[TgtModel],MATCH($B130,xx_matrix[command],0)),"")</f>
        <v/>
      </c>
      <c r="M130" t="str">
        <f>IFERROR(INDEX(xx_matrix[TgtObject],MATCH($B130,xx_matrix[command],0)),"")</f>
        <v/>
      </c>
      <c r="N130" t="str">
        <f>IFERROR(INDEX(xx_matrix[Instructions],MATCH($B130,xx_matrix[command],0)),"")</f>
        <v/>
      </c>
    </row>
    <row r="131" spans="1:14">
      <c r="A131" s="19"/>
      <c r="D131" s="36" t="str">
        <f>IF(ISBLANK(B131),"",IF(ISERROR(MATCH(B131,xx_matrix[command],0)),FALSE,IF(ISTEXT(INDEX(xx_matrix[videoLink],MATCH(B131,xx_matrix[command],0),1)),HYPERLINK(INDEX(xx_matrix[videoLink],MATCH(B131,xx_matrix[command],0),1),"_YES_"),"YES")))</f>
        <v/>
      </c>
      <c r="J131" t="str">
        <f>IFERROR(INDEX(xx_matrix[SrcModel],MATCH($B131,xx_matrix[command],0)),"")</f>
        <v/>
      </c>
      <c r="K131" t="str">
        <f>IFERROR(INDEX(xx_matrix[SrcObject],MATCH($B131,xx_matrix[command],0)),"")</f>
        <v/>
      </c>
      <c r="L131" t="str">
        <f>IFERROR(INDEX(xx_matrix[TgtModel],MATCH($B131,xx_matrix[command],0)),"")</f>
        <v/>
      </c>
      <c r="M131" t="str">
        <f>IFERROR(INDEX(xx_matrix[TgtObject],MATCH($B131,xx_matrix[command],0)),"")</f>
        <v/>
      </c>
      <c r="N131" t="str">
        <f>IFERROR(INDEX(xx_matrix[Instructions],MATCH($B131,xx_matrix[command],0)),"")</f>
        <v/>
      </c>
    </row>
    <row r="132" spans="1:14">
      <c r="A132" s="19"/>
      <c r="D132" s="36" t="str">
        <f>IF(ISBLANK(B132),"",IF(ISERROR(MATCH(B132,xx_matrix[command],0)),FALSE,IF(ISTEXT(INDEX(xx_matrix[videoLink],MATCH(B132,xx_matrix[command],0),1)),HYPERLINK(INDEX(xx_matrix[videoLink],MATCH(B132,xx_matrix[command],0),1),"_YES_"),"YES")))</f>
        <v/>
      </c>
      <c r="J132" t="str">
        <f>IFERROR(INDEX(xx_matrix[SrcModel],MATCH($B132,xx_matrix[command],0)),"")</f>
        <v/>
      </c>
      <c r="K132" t="str">
        <f>IFERROR(INDEX(xx_matrix[SrcObject],MATCH($B132,xx_matrix[command],0)),"")</f>
        <v/>
      </c>
      <c r="L132" t="str">
        <f>IFERROR(INDEX(xx_matrix[TgtModel],MATCH($B132,xx_matrix[command],0)),"")</f>
        <v/>
      </c>
      <c r="M132" t="str">
        <f>IFERROR(INDEX(xx_matrix[TgtObject],MATCH($B132,xx_matrix[command],0)),"")</f>
        <v/>
      </c>
      <c r="N132" t="str">
        <f>IFERROR(INDEX(xx_matrix[Instructions],MATCH($B132,xx_matrix[command],0)),"")</f>
        <v/>
      </c>
    </row>
    <row r="133" spans="1:14">
      <c r="A133" s="19"/>
      <c r="D133" s="36" t="str">
        <f>IF(ISBLANK(B133),"",IF(ISERROR(MATCH(B133,xx_matrix[command],0)),FALSE,IF(ISTEXT(INDEX(xx_matrix[videoLink],MATCH(B133,xx_matrix[command],0),1)),HYPERLINK(INDEX(xx_matrix[videoLink],MATCH(B133,xx_matrix[command],0),1),"_YES_"),"YES")))</f>
        <v/>
      </c>
      <c r="J133" t="str">
        <f>IFERROR(INDEX(xx_matrix[SrcModel],MATCH($B133,xx_matrix[command],0)),"")</f>
        <v/>
      </c>
      <c r="K133" t="str">
        <f>IFERROR(INDEX(xx_matrix[SrcObject],MATCH($B133,xx_matrix[command],0)),"")</f>
        <v/>
      </c>
      <c r="L133" t="str">
        <f>IFERROR(INDEX(xx_matrix[TgtModel],MATCH($B133,xx_matrix[command],0)),"")</f>
        <v/>
      </c>
      <c r="M133" t="str">
        <f>IFERROR(INDEX(xx_matrix[TgtObject],MATCH($B133,xx_matrix[command],0)),"")</f>
        <v/>
      </c>
      <c r="N133" t="str">
        <f>IFERROR(INDEX(xx_matrix[Instructions],MATCH($B133,xx_matrix[command],0)),"")</f>
        <v/>
      </c>
    </row>
    <row r="134" spans="1:14">
      <c r="A134" s="19"/>
      <c r="D134" s="36" t="str">
        <f>IF(ISBLANK(B134),"",IF(ISERROR(MATCH(B134,xx_matrix[command],0)),FALSE,IF(ISTEXT(INDEX(xx_matrix[videoLink],MATCH(B134,xx_matrix[command],0),1)),HYPERLINK(INDEX(xx_matrix[videoLink],MATCH(B134,xx_matrix[command],0),1),"_YES_"),"YES")))</f>
        <v/>
      </c>
      <c r="J134" t="str">
        <f>IFERROR(INDEX(xx_matrix[SrcModel],MATCH($B134,xx_matrix[command],0)),"")</f>
        <v/>
      </c>
      <c r="K134" t="str">
        <f>IFERROR(INDEX(xx_matrix[SrcObject],MATCH($B134,xx_matrix[command],0)),"")</f>
        <v/>
      </c>
      <c r="L134" t="str">
        <f>IFERROR(INDEX(xx_matrix[TgtModel],MATCH($B134,xx_matrix[command],0)),"")</f>
        <v/>
      </c>
      <c r="M134" t="str">
        <f>IFERROR(INDEX(xx_matrix[TgtObject],MATCH($B134,xx_matrix[command],0)),"")</f>
        <v/>
      </c>
      <c r="N134" t="str">
        <f>IFERROR(INDEX(xx_matrix[Instructions],MATCH($B134,xx_matrix[command],0)),"")</f>
        <v/>
      </c>
    </row>
    <row r="135" spans="1:14">
      <c r="A135" s="19"/>
      <c r="D135" s="36" t="str">
        <f>IF(ISBLANK(B135),"",IF(ISERROR(MATCH(B135,xx_matrix[command],0)),FALSE,IF(ISTEXT(INDEX(xx_matrix[videoLink],MATCH(B135,xx_matrix[command],0),1)),HYPERLINK(INDEX(xx_matrix[videoLink],MATCH(B135,xx_matrix[command],0),1),"_YES_"),"YES")))</f>
        <v/>
      </c>
      <c r="J135" t="str">
        <f>IFERROR(INDEX(xx_matrix[SrcModel],MATCH($B135,xx_matrix[command],0)),"")</f>
        <v/>
      </c>
      <c r="K135" t="str">
        <f>IFERROR(INDEX(xx_matrix[SrcObject],MATCH($B135,xx_matrix[command],0)),"")</f>
        <v/>
      </c>
      <c r="L135" t="str">
        <f>IFERROR(INDEX(xx_matrix[TgtModel],MATCH($B135,xx_matrix[command],0)),"")</f>
        <v/>
      </c>
      <c r="M135" t="str">
        <f>IFERROR(INDEX(xx_matrix[TgtObject],MATCH($B135,xx_matrix[command],0)),"")</f>
        <v/>
      </c>
      <c r="N135" t="str">
        <f>IFERROR(INDEX(xx_matrix[Instructions],MATCH($B135,xx_matrix[command],0)),"")</f>
        <v/>
      </c>
    </row>
    <row r="136" spans="1:14">
      <c r="A136" s="19"/>
      <c r="D136" s="36" t="str">
        <f>IF(ISBLANK(B136),"",IF(ISERROR(MATCH(B136,xx_matrix[command],0)),FALSE,IF(ISTEXT(INDEX(xx_matrix[videoLink],MATCH(B136,xx_matrix[command],0),1)),HYPERLINK(INDEX(xx_matrix[videoLink],MATCH(B136,xx_matrix[command],0),1),"_YES_"),"YES")))</f>
        <v/>
      </c>
      <c r="J136" t="str">
        <f>IFERROR(INDEX(xx_matrix[SrcModel],MATCH($B136,xx_matrix[command],0)),"")</f>
        <v/>
      </c>
      <c r="K136" t="str">
        <f>IFERROR(INDEX(xx_matrix[SrcObject],MATCH($B136,xx_matrix[command],0)),"")</f>
        <v/>
      </c>
      <c r="L136" t="str">
        <f>IFERROR(INDEX(xx_matrix[TgtModel],MATCH($B136,xx_matrix[command],0)),"")</f>
        <v/>
      </c>
      <c r="M136" t="str">
        <f>IFERROR(INDEX(xx_matrix[TgtObject],MATCH($B136,xx_matrix[command],0)),"")</f>
        <v/>
      </c>
      <c r="N136" t="str">
        <f>IFERROR(INDEX(xx_matrix[Instructions],MATCH($B136,xx_matrix[command],0)),"")</f>
        <v/>
      </c>
    </row>
    <row r="137" spans="1:14">
      <c r="A137" s="19"/>
      <c r="D137" s="36" t="str">
        <f>IF(ISBLANK(B137),"",IF(ISERROR(MATCH(B137,xx_matrix[command],0)),FALSE,IF(ISTEXT(INDEX(xx_matrix[videoLink],MATCH(B137,xx_matrix[command],0),1)),HYPERLINK(INDEX(xx_matrix[videoLink],MATCH(B137,xx_matrix[command],0),1),"_YES_"),"YES")))</f>
        <v/>
      </c>
      <c r="J137" t="str">
        <f>IFERROR(INDEX(xx_matrix[SrcModel],MATCH($B137,xx_matrix[command],0)),"")</f>
        <v/>
      </c>
      <c r="K137" t="str">
        <f>IFERROR(INDEX(xx_matrix[SrcObject],MATCH($B137,xx_matrix[command],0)),"")</f>
        <v/>
      </c>
      <c r="L137" t="str">
        <f>IFERROR(INDEX(xx_matrix[TgtModel],MATCH($B137,xx_matrix[command],0)),"")</f>
        <v/>
      </c>
      <c r="M137" t="str">
        <f>IFERROR(INDEX(xx_matrix[TgtObject],MATCH($B137,xx_matrix[command],0)),"")</f>
        <v/>
      </c>
      <c r="N137" t="str">
        <f>IFERROR(INDEX(xx_matrix[Instructions],MATCH($B137,xx_matrix[command],0)),"")</f>
        <v/>
      </c>
    </row>
    <row r="138" spans="1:14">
      <c r="A138" s="19"/>
      <c r="D138" s="36" t="str">
        <f>IF(ISBLANK(B138),"",IF(ISERROR(MATCH(B138,xx_matrix[command],0)),FALSE,IF(ISTEXT(INDEX(xx_matrix[videoLink],MATCH(B138,xx_matrix[command],0),1)),HYPERLINK(INDEX(xx_matrix[videoLink],MATCH(B138,xx_matrix[command],0),1),"_YES_"),"YES")))</f>
        <v/>
      </c>
      <c r="J138" t="str">
        <f>IFERROR(INDEX(xx_matrix[SrcModel],MATCH($B138,xx_matrix[command],0)),"")</f>
        <v/>
      </c>
      <c r="K138" t="str">
        <f>IFERROR(INDEX(xx_matrix[SrcObject],MATCH($B138,xx_matrix[command],0)),"")</f>
        <v/>
      </c>
      <c r="L138" t="str">
        <f>IFERROR(INDEX(xx_matrix[TgtModel],MATCH($B138,xx_matrix[command],0)),"")</f>
        <v/>
      </c>
      <c r="M138" t="str">
        <f>IFERROR(INDEX(xx_matrix[TgtObject],MATCH($B138,xx_matrix[command],0)),"")</f>
        <v/>
      </c>
      <c r="N138" t="str">
        <f>IFERROR(INDEX(xx_matrix[Instructions],MATCH($B138,xx_matrix[command],0)),"")</f>
        <v/>
      </c>
    </row>
    <row r="139" spans="1:14">
      <c r="A139" s="19"/>
      <c r="D139" s="36" t="str">
        <f>IF(ISBLANK(B139),"",IF(ISERROR(MATCH(B139,xx_matrix[command],0)),FALSE,IF(ISTEXT(INDEX(xx_matrix[videoLink],MATCH(B139,xx_matrix[command],0),1)),HYPERLINK(INDEX(xx_matrix[videoLink],MATCH(B139,xx_matrix[command],0),1),"_YES_"),"YES")))</f>
        <v/>
      </c>
      <c r="J139" t="str">
        <f>IFERROR(INDEX(xx_matrix[SrcModel],MATCH($B139,xx_matrix[command],0)),"")</f>
        <v/>
      </c>
      <c r="K139" t="str">
        <f>IFERROR(INDEX(xx_matrix[SrcObject],MATCH($B139,xx_matrix[command],0)),"")</f>
        <v/>
      </c>
      <c r="L139" t="str">
        <f>IFERROR(INDEX(xx_matrix[TgtModel],MATCH($B139,xx_matrix[command],0)),"")</f>
        <v/>
      </c>
      <c r="M139" t="str">
        <f>IFERROR(INDEX(xx_matrix[TgtObject],MATCH($B139,xx_matrix[command],0)),"")</f>
        <v/>
      </c>
      <c r="N139" t="str">
        <f>IFERROR(INDEX(xx_matrix[Instructions],MATCH($B139,xx_matrix[command],0)),"")</f>
        <v/>
      </c>
    </row>
    <row r="140" spans="1:14">
      <c r="A140" s="19"/>
      <c r="D140" s="36" t="str">
        <f>IF(ISBLANK(B140),"",IF(ISERROR(MATCH(B140,xx_matrix[command],0)),FALSE,IF(ISTEXT(INDEX(xx_matrix[videoLink],MATCH(B140,xx_matrix[command],0),1)),HYPERLINK(INDEX(xx_matrix[videoLink],MATCH(B140,xx_matrix[command],0),1),"_YES_"),"YES")))</f>
        <v/>
      </c>
      <c r="J140" t="str">
        <f>IFERROR(INDEX(xx_matrix[SrcModel],MATCH($B140,xx_matrix[command],0)),"")</f>
        <v/>
      </c>
      <c r="K140" t="str">
        <f>IFERROR(INDEX(xx_matrix[SrcObject],MATCH($B140,xx_matrix[command],0)),"")</f>
        <v/>
      </c>
      <c r="L140" t="str">
        <f>IFERROR(INDEX(xx_matrix[TgtModel],MATCH($B140,xx_matrix[command],0)),"")</f>
        <v/>
      </c>
      <c r="M140" t="str">
        <f>IFERROR(INDEX(xx_matrix[TgtObject],MATCH($B140,xx_matrix[command],0)),"")</f>
        <v/>
      </c>
      <c r="N140" t="str">
        <f>IFERROR(INDEX(xx_matrix[Instructions],MATCH($B140,xx_matrix[command],0)),"")</f>
        <v/>
      </c>
    </row>
    <row r="141" spans="1:14">
      <c r="A141" s="19"/>
      <c r="D141" s="36" t="str">
        <f>IF(ISBLANK(B141),"",IF(ISERROR(MATCH(B141,xx_matrix[command],0)),FALSE,IF(ISTEXT(INDEX(xx_matrix[videoLink],MATCH(B141,xx_matrix[command],0),1)),HYPERLINK(INDEX(xx_matrix[videoLink],MATCH(B141,xx_matrix[command],0),1),"_YES_"),"YES")))</f>
        <v/>
      </c>
      <c r="J141" t="str">
        <f>IFERROR(INDEX(xx_matrix[SrcModel],MATCH($B141,xx_matrix[command],0)),"")</f>
        <v/>
      </c>
      <c r="K141" t="str">
        <f>IFERROR(INDEX(xx_matrix[SrcObject],MATCH($B141,xx_matrix[command],0)),"")</f>
        <v/>
      </c>
      <c r="L141" t="str">
        <f>IFERROR(INDEX(xx_matrix[TgtModel],MATCH($B141,xx_matrix[command],0)),"")</f>
        <v/>
      </c>
      <c r="M141" t="str">
        <f>IFERROR(INDEX(xx_matrix[TgtObject],MATCH($B141,xx_matrix[command],0)),"")</f>
        <v/>
      </c>
      <c r="N141" t="str">
        <f>IFERROR(INDEX(xx_matrix[Instructions],MATCH($B141,xx_matrix[command],0)),"")</f>
        <v/>
      </c>
    </row>
    <row r="142" spans="1:14">
      <c r="A142" s="19"/>
      <c r="D142" s="36" t="str">
        <f>IF(ISBLANK(B142),"",IF(ISERROR(MATCH(B142,xx_matrix[command],0)),FALSE,IF(ISTEXT(INDEX(xx_matrix[videoLink],MATCH(B142,xx_matrix[command],0),1)),HYPERLINK(INDEX(xx_matrix[videoLink],MATCH(B142,xx_matrix[command],0),1),"_YES_"),"YES")))</f>
        <v/>
      </c>
      <c r="J142" t="str">
        <f>IFERROR(INDEX(xx_matrix[SrcModel],MATCH($B142,xx_matrix[command],0)),"")</f>
        <v/>
      </c>
      <c r="K142" t="str">
        <f>IFERROR(INDEX(xx_matrix[SrcObject],MATCH($B142,xx_matrix[command],0)),"")</f>
        <v/>
      </c>
      <c r="L142" t="str">
        <f>IFERROR(INDEX(xx_matrix[TgtModel],MATCH($B142,xx_matrix[command],0)),"")</f>
        <v/>
      </c>
      <c r="M142" t="str">
        <f>IFERROR(INDEX(xx_matrix[TgtObject],MATCH($B142,xx_matrix[command],0)),"")</f>
        <v/>
      </c>
      <c r="N142" t="str">
        <f>IFERROR(INDEX(xx_matrix[Instructions],MATCH($B142,xx_matrix[command],0)),"")</f>
        <v/>
      </c>
    </row>
    <row r="143" spans="1:14">
      <c r="A143" s="19"/>
      <c r="D143" s="36" t="str">
        <f>IF(ISBLANK(B143),"",IF(ISERROR(MATCH(B143,xx_matrix[command],0)),FALSE,IF(ISTEXT(INDEX(xx_matrix[videoLink],MATCH(B143,xx_matrix[command],0),1)),HYPERLINK(INDEX(xx_matrix[videoLink],MATCH(B143,xx_matrix[command],0),1),"_YES_"),"YES")))</f>
        <v/>
      </c>
      <c r="J143" t="str">
        <f>IFERROR(INDEX(xx_matrix[SrcModel],MATCH($B143,xx_matrix[command],0)),"")</f>
        <v/>
      </c>
      <c r="K143" t="str">
        <f>IFERROR(INDEX(xx_matrix[SrcObject],MATCH($B143,xx_matrix[command],0)),"")</f>
        <v/>
      </c>
      <c r="L143" t="str">
        <f>IFERROR(INDEX(xx_matrix[TgtModel],MATCH($B143,xx_matrix[command],0)),"")</f>
        <v/>
      </c>
      <c r="M143" t="str">
        <f>IFERROR(INDEX(xx_matrix[TgtObject],MATCH($B143,xx_matrix[command],0)),"")</f>
        <v/>
      </c>
      <c r="N143" t="str">
        <f>IFERROR(INDEX(xx_matrix[Instructions],MATCH($B143,xx_matrix[command],0)),"")</f>
        <v/>
      </c>
    </row>
    <row r="144" spans="1:14">
      <c r="A144" s="19"/>
      <c r="D144" s="36" t="str">
        <f>IF(ISBLANK(B144),"",IF(ISERROR(MATCH(B144,xx_matrix[command],0)),FALSE,IF(ISTEXT(INDEX(xx_matrix[videoLink],MATCH(B144,xx_matrix[command],0),1)),HYPERLINK(INDEX(xx_matrix[videoLink],MATCH(B144,xx_matrix[command],0),1),"_YES_"),"YES")))</f>
        <v/>
      </c>
      <c r="J144" t="str">
        <f>IFERROR(INDEX(xx_matrix[SrcModel],MATCH($B144,xx_matrix[command],0)),"")</f>
        <v/>
      </c>
      <c r="K144" t="str">
        <f>IFERROR(INDEX(xx_matrix[SrcObject],MATCH($B144,xx_matrix[command],0)),"")</f>
        <v/>
      </c>
      <c r="L144" t="str">
        <f>IFERROR(INDEX(xx_matrix[TgtModel],MATCH($B144,xx_matrix[command],0)),"")</f>
        <v/>
      </c>
      <c r="M144" t="str">
        <f>IFERROR(INDEX(xx_matrix[TgtObject],MATCH($B144,xx_matrix[command],0)),"")</f>
        <v/>
      </c>
      <c r="N144" t="str">
        <f>IFERROR(INDEX(xx_matrix[Instructions],MATCH($B144,xx_matrix[command],0)),"")</f>
        <v/>
      </c>
    </row>
    <row r="145" spans="1:14">
      <c r="A145" s="19"/>
      <c r="D145" s="36" t="str">
        <f>IF(ISBLANK(B145),"",IF(ISERROR(MATCH(B145,xx_matrix[command],0)),FALSE,IF(ISTEXT(INDEX(xx_matrix[videoLink],MATCH(B145,xx_matrix[command],0),1)),HYPERLINK(INDEX(xx_matrix[videoLink],MATCH(B145,xx_matrix[command],0),1),"_YES_"),"YES")))</f>
        <v/>
      </c>
      <c r="J145" t="str">
        <f>IFERROR(INDEX(xx_matrix[SrcModel],MATCH($B145,xx_matrix[command],0)),"")</f>
        <v/>
      </c>
      <c r="K145" t="str">
        <f>IFERROR(INDEX(xx_matrix[SrcObject],MATCH($B145,xx_matrix[command],0)),"")</f>
        <v/>
      </c>
      <c r="L145" t="str">
        <f>IFERROR(INDEX(xx_matrix[TgtModel],MATCH($B145,xx_matrix[command],0)),"")</f>
        <v/>
      </c>
      <c r="M145" t="str">
        <f>IFERROR(INDEX(xx_matrix[TgtObject],MATCH($B145,xx_matrix[command],0)),"")</f>
        <v/>
      </c>
      <c r="N145" t="str">
        <f>IFERROR(INDEX(xx_matrix[Instructions],MATCH($B145,xx_matrix[command],0)),"")</f>
        <v/>
      </c>
    </row>
    <row r="146" spans="1:14">
      <c r="A146" s="19"/>
      <c r="D146" s="36" t="str">
        <f>IF(ISBLANK(B146),"",IF(ISERROR(MATCH(B146,xx_matrix[command],0)),FALSE,IF(ISTEXT(INDEX(xx_matrix[videoLink],MATCH(B146,xx_matrix[command],0),1)),HYPERLINK(INDEX(xx_matrix[videoLink],MATCH(B146,xx_matrix[command],0),1),"_YES_"),"YES")))</f>
        <v/>
      </c>
      <c r="J146" t="str">
        <f>IFERROR(INDEX(xx_matrix[SrcModel],MATCH($B146,xx_matrix[command],0)),"")</f>
        <v/>
      </c>
      <c r="K146" t="str">
        <f>IFERROR(INDEX(xx_matrix[SrcObject],MATCH($B146,xx_matrix[command],0)),"")</f>
        <v/>
      </c>
      <c r="L146" t="str">
        <f>IFERROR(INDEX(xx_matrix[TgtModel],MATCH($B146,xx_matrix[command],0)),"")</f>
        <v/>
      </c>
      <c r="M146" t="str">
        <f>IFERROR(INDEX(xx_matrix[TgtObject],MATCH($B146,xx_matrix[command],0)),"")</f>
        <v/>
      </c>
      <c r="N146" t="str">
        <f>IFERROR(INDEX(xx_matrix[Instructions],MATCH($B146,xx_matrix[command],0)),"")</f>
        <v/>
      </c>
    </row>
    <row r="147" spans="1:14">
      <c r="A147" s="19"/>
      <c r="D147" s="36" t="str">
        <f>IF(ISBLANK(B147),"",IF(ISERROR(MATCH(B147,xx_matrix[command],0)),FALSE,IF(ISTEXT(INDEX(xx_matrix[videoLink],MATCH(B147,xx_matrix[command],0),1)),HYPERLINK(INDEX(xx_matrix[videoLink],MATCH(B147,xx_matrix[command],0),1),"_YES_"),"YES")))</f>
        <v/>
      </c>
      <c r="J147" t="str">
        <f>IFERROR(INDEX(xx_matrix[SrcModel],MATCH($B147,xx_matrix[command],0)),"")</f>
        <v/>
      </c>
      <c r="K147" t="str">
        <f>IFERROR(INDEX(xx_matrix[SrcObject],MATCH($B147,xx_matrix[command],0)),"")</f>
        <v/>
      </c>
      <c r="L147" t="str">
        <f>IFERROR(INDEX(xx_matrix[TgtModel],MATCH($B147,xx_matrix[command],0)),"")</f>
        <v/>
      </c>
      <c r="M147" t="str">
        <f>IFERROR(INDEX(xx_matrix[TgtObject],MATCH($B147,xx_matrix[command],0)),"")</f>
        <v/>
      </c>
      <c r="N147" t="str">
        <f>IFERROR(INDEX(xx_matrix[Instructions],MATCH($B147,xx_matrix[command],0)),"")</f>
        <v/>
      </c>
    </row>
    <row r="148" spans="1:14">
      <c r="A148" s="19"/>
      <c r="D148" s="36" t="str">
        <f>IF(ISBLANK(B148),"",IF(ISERROR(MATCH(B148,xx_matrix[command],0)),FALSE,IF(ISTEXT(INDEX(xx_matrix[videoLink],MATCH(B148,xx_matrix[command],0),1)),HYPERLINK(INDEX(xx_matrix[videoLink],MATCH(B148,xx_matrix[command],0),1),"_YES_"),"YES")))</f>
        <v/>
      </c>
      <c r="J148" t="str">
        <f>IFERROR(INDEX(xx_matrix[SrcModel],MATCH($B148,xx_matrix[command],0)),"")</f>
        <v/>
      </c>
      <c r="K148" t="str">
        <f>IFERROR(INDEX(xx_matrix[SrcObject],MATCH($B148,xx_matrix[command],0)),"")</f>
        <v/>
      </c>
      <c r="L148" t="str">
        <f>IFERROR(INDEX(xx_matrix[TgtModel],MATCH($B148,xx_matrix[command],0)),"")</f>
        <v/>
      </c>
      <c r="M148" t="str">
        <f>IFERROR(INDEX(xx_matrix[TgtObject],MATCH($B148,xx_matrix[command],0)),"")</f>
        <v/>
      </c>
      <c r="N148" t="str">
        <f>IFERROR(INDEX(xx_matrix[Instructions],MATCH($B148,xx_matrix[command],0)),"")</f>
        <v/>
      </c>
    </row>
    <row r="149" spans="1:14">
      <c r="A149" s="19"/>
      <c r="D149" s="36" t="str">
        <f>IF(ISBLANK(B149),"",IF(ISERROR(MATCH(B149,xx_matrix[command],0)),FALSE,IF(ISTEXT(INDEX(xx_matrix[videoLink],MATCH(B149,xx_matrix[command],0),1)),HYPERLINK(INDEX(xx_matrix[videoLink],MATCH(B149,xx_matrix[command],0),1),"_YES_"),"YES")))</f>
        <v/>
      </c>
      <c r="J149" t="str">
        <f>IFERROR(INDEX(xx_matrix[SrcModel],MATCH($B149,xx_matrix[command],0)),"")</f>
        <v/>
      </c>
      <c r="K149" t="str">
        <f>IFERROR(INDEX(xx_matrix[SrcObject],MATCH($B149,xx_matrix[command],0)),"")</f>
        <v/>
      </c>
      <c r="L149" t="str">
        <f>IFERROR(INDEX(xx_matrix[TgtModel],MATCH($B149,xx_matrix[command],0)),"")</f>
        <v/>
      </c>
      <c r="M149" t="str">
        <f>IFERROR(INDEX(xx_matrix[TgtObject],MATCH($B149,xx_matrix[command],0)),"")</f>
        <v/>
      </c>
      <c r="N149" t="str">
        <f>IFERROR(INDEX(xx_matrix[Instructions],MATCH($B149,xx_matrix[command],0)),"")</f>
        <v/>
      </c>
    </row>
    <row r="150" spans="1:14">
      <c r="A150" s="19"/>
      <c r="D150" s="36" t="str">
        <f>IF(ISBLANK(B150),"",IF(ISERROR(MATCH(B150,xx_matrix[command],0)),FALSE,IF(ISTEXT(INDEX(xx_matrix[videoLink],MATCH(B150,xx_matrix[command],0),1)),HYPERLINK(INDEX(xx_matrix[videoLink],MATCH(B150,xx_matrix[command],0),1),"_YES_"),"YES")))</f>
        <v/>
      </c>
      <c r="J150" t="str">
        <f>IFERROR(INDEX(xx_matrix[SrcModel],MATCH($B150,xx_matrix[command],0)),"")</f>
        <v/>
      </c>
      <c r="K150" t="str">
        <f>IFERROR(INDEX(xx_matrix[SrcObject],MATCH($B150,xx_matrix[command],0)),"")</f>
        <v/>
      </c>
      <c r="L150" t="str">
        <f>IFERROR(INDEX(xx_matrix[TgtModel],MATCH($B150,xx_matrix[command],0)),"")</f>
        <v/>
      </c>
      <c r="M150" t="str">
        <f>IFERROR(INDEX(xx_matrix[TgtObject],MATCH($B150,xx_matrix[command],0)),"")</f>
        <v/>
      </c>
      <c r="N150" t="str">
        <f>IFERROR(INDEX(xx_matrix[Instructions],MATCH($B150,xx_matrix[command],0)),"")</f>
        <v/>
      </c>
    </row>
    <row r="151" spans="1:14">
      <c r="A151" s="19"/>
      <c r="D151" s="36" t="str">
        <f>IF(ISBLANK(B151),"",IF(ISERROR(MATCH(B151,xx_matrix[command],0)),FALSE,IF(ISTEXT(INDEX(xx_matrix[videoLink],MATCH(B151,xx_matrix[command],0),1)),HYPERLINK(INDEX(xx_matrix[videoLink],MATCH(B151,xx_matrix[command],0),1),"_YES_"),"YES")))</f>
        <v/>
      </c>
      <c r="J151" t="str">
        <f>IFERROR(INDEX(xx_matrix[SrcModel],MATCH($B151,xx_matrix[command],0)),"")</f>
        <v/>
      </c>
      <c r="K151" t="str">
        <f>IFERROR(INDEX(xx_matrix[SrcObject],MATCH($B151,xx_matrix[command],0)),"")</f>
        <v/>
      </c>
      <c r="L151" t="str">
        <f>IFERROR(INDEX(xx_matrix[TgtModel],MATCH($B151,xx_matrix[command],0)),"")</f>
        <v/>
      </c>
      <c r="M151" t="str">
        <f>IFERROR(INDEX(xx_matrix[TgtObject],MATCH($B151,xx_matrix[command],0)),"")</f>
        <v/>
      </c>
      <c r="N151" t="str">
        <f>IFERROR(INDEX(xx_matrix[Instructions],MATCH($B151,xx_matrix[command],0)),"")</f>
        <v/>
      </c>
    </row>
    <row r="152" spans="1:14">
      <c r="A152" s="19"/>
      <c r="D152" s="36" t="str">
        <f>IF(ISBLANK(B152),"",IF(ISERROR(MATCH(B152,xx_matrix[command],0)),FALSE,IF(ISTEXT(INDEX(xx_matrix[videoLink],MATCH(B152,xx_matrix[command],0),1)),HYPERLINK(INDEX(xx_matrix[videoLink],MATCH(B152,xx_matrix[command],0),1),"_YES_"),"YES")))</f>
        <v/>
      </c>
      <c r="J152" t="str">
        <f>IFERROR(INDEX(xx_matrix[SrcModel],MATCH($B152,xx_matrix[command],0)),"")</f>
        <v/>
      </c>
      <c r="K152" t="str">
        <f>IFERROR(INDEX(xx_matrix[SrcObject],MATCH($B152,xx_matrix[command],0)),"")</f>
        <v/>
      </c>
      <c r="L152" t="str">
        <f>IFERROR(INDEX(xx_matrix[TgtModel],MATCH($B152,xx_matrix[command],0)),"")</f>
        <v/>
      </c>
      <c r="M152" t="str">
        <f>IFERROR(INDEX(xx_matrix[TgtObject],MATCH($B152,xx_matrix[command],0)),"")</f>
        <v/>
      </c>
      <c r="N152" t="str">
        <f>IFERROR(INDEX(xx_matrix[Instructions],MATCH($B152,xx_matrix[command],0)),"")</f>
        <v/>
      </c>
    </row>
    <row r="153" spans="1:14">
      <c r="A153" s="19"/>
      <c r="D153" s="36" t="str">
        <f>IF(ISBLANK(B153),"",IF(ISERROR(MATCH(B153,xx_matrix[command],0)),FALSE,IF(ISTEXT(INDEX(xx_matrix[videoLink],MATCH(B153,xx_matrix[command],0),1)),HYPERLINK(INDEX(xx_matrix[videoLink],MATCH(B153,xx_matrix[command],0),1),"_YES_"),"YES")))</f>
        <v/>
      </c>
      <c r="J153" t="str">
        <f>IFERROR(INDEX(xx_matrix[SrcModel],MATCH($B153,xx_matrix[command],0)),"")</f>
        <v/>
      </c>
      <c r="K153" t="str">
        <f>IFERROR(INDEX(xx_matrix[SrcObject],MATCH($B153,xx_matrix[command],0)),"")</f>
        <v/>
      </c>
      <c r="L153" t="str">
        <f>IFERROR(INDEX(xx_matrix[TgtModel],MATCH($B153,xx_matrix[command],0)),"")</f>
        <v/>
      </c>
      <c r="M153" t="str">
        <f>IFERROR(INDEX(xx_matrix[TgtObject],MATCH($B153,xx_matrix[command],0)),"")</f>
        <v/>
      </c>
      <c r="N153" t="str">
        <f>IFERROR(INDEX(xx_matrix[Instructions],MATCH($B153,xx_matrix[command],0)),"")</f>
        <v/>
      </c>
    </row>
    <row r="154" spans="1:14">
      <c r="A154" s="19"/>
      <c r="D154" s="36" t="str">
        <f>IF(ISBLANK(B154),"",IF(ISERROR(MATCH(B154,xx_matrix[command],0)),FALSE,IF(ISTEXT(INDEX(xx_matrix[videoLink],MATCH(B154,xx_matrix[command],0),1)),HYPERLINK(INDEX(xx_matrix[videoLink],MATCH(B154,xx_matrix[command],0),1),"_YES_"),"YES")))</f>
        <v/>
      </c>
      <c r="J154" t="str">
        <f>IFERROR(INDEX(xx_matrix[SrcModel],MATCH($B154,xx_matrix[command],0)),"")</f>
        <v/>
      </c>
      <c r="K154" t="str">
        <f>IFERROR(INDEX(xx_matrix[SrcObject],MATCH($B154,xx_matrix[command],0)),"")</f>
        <v/>
      </c>
      <c r="L154" t="str">
        <f>IFERROR(INDEX(xx_matrix[TgtModel],MATCH($B154,xx_matrix[command],0)),"")</f>
        <v/>
      </c>
      <c r="M154" t="str">
        <f>IFERROR(INDEX(xx_matrix[TgtObject],MATCH($B154,xx_matrix[command],0)),"")</f>
        <v/>
      </c>
      <c r="N154" t="str">
        <f>IFERROR(INDEX(xx_matrix[Instructions],MATCH($B154,xx_matrix[command],0)),"")</f>
        <v/>
      </c>
    </row>
    <row r="155" spans="1:14">
      <c r="A155" s="19"/>
      <c r="D155" s="36" t="str">
        <f>IF(ISBLANK(B155),"",IF(ISERROR(MATCH(B155,xx_matrix[command],0)),FALSE,IF(ISTEXT(INDEX(xx_matrix[videoLink],MATCH(B155,xx_matrix[command],0),1)),HYPERLINK(INDEX(xx_matrix[videoLink],MATCH(B155,xx_matrix[command],0),1),"_YES_"),"YES")))</f>
        <v/>
      </c>
      <c r="J155" t="str">
        <f>IFERROR(INDEX(xx_matrix[SrcModel],MATCH($B155,xx_matrix[command],0)),"")</f>
        <v/>
      </c>
      <c r="K155" t="str">
        <f>IFERROR(INDEX(xx_matrix[SrcObject],MATCH($B155,xx_matrix[command],0)),"")</f>
        <v/>
      </c>
      <c r="L155" t="str">
        <f>IFERROR(INDEX(xx_matrix[TgtModel],MATCH($B155,xx_matrix[command],0)),"")</f>
        <v/>
      </c>
      <c r="M155" t="str">
        <f>IFERROR(INDEX(xx_matrix[TgtObject],MATCH($B155,xx_matrix[command],0)),"")</f>
        <v/>
      </c>
      <c r="N155" t="str">
        <f>IFERROR(INDEX(xx_matrix[Instructions],MATCH($B155,xx_matrix[command],0)),"")</f>
        <v/>
      </c>
    </row>
    <row r="156" spans="1:14">
      <c r="A156" s="19"/>
      <c r="D156" s="36" t="str">
        <f>IF(ISBLANK(B156),"",IF(ISERROR(MATCH(B156,xx_matrix[command],0)),FALSE,IF(ISTEXT(INDEX(xx_matrix[videoLink],MATCH(B156,xx_matrix[command],0),1)),HYPERLINK(INDEX(xx_matrix[videoLink],MATCH(B156,xx_matrix[command],0),1),"_YES_"),"YES")))</f>
        <v/>
      </c>
      <c r="J156" t="str">
        <f>IFERROR(INDEX(xx_matrix[SrcModel],MATCH($B156,xx_matrix[command],0)),"")</f>
        <v/>
      </c>
      <c r="K156" t="str">
        <f>IFERROR(INDEX(xx_matrix[SrcObject],MATCH($B156,xx_matrix[command],0)),"")</f>
        <v/>
      </c>
      <c r="L156" t="str">
        <f>IFERROR(INDEX(xx_matrix[TgtModel],MATCH($B156,xx_matrix[command],0)),"")</f>
        <v/>
      </c>
      <c r="M156" t="str">
        <f>IFERROR(INDEX(xx_matrix[TgtObject],MATCH($B156,xx_matrix[command],0)),"")</f>
        <v/>
      </c>
      <c r="N156" t="str">
        <f>IFERROR(INDEX(xx_matrix[Instructions],MATCH($B156,xx_matrix[command],0)),"")</f>
        <v/>
      </c>
    </row>
    <row r="157" spans="1:14">
      <c r="A157" s="19"/>
      <c r="D157" s="36" t="str">
        <f>IF(ISBLANK(B157),"",IF(ISERROR(MATCH(B157,xx_matrix[command],0)),FALSE,IF(ISTEXT(INDEX(xx_matrix[videoLink],MATCH(B157,xx_matrix[command],0),1)),HYPERLINK(INDEX(xx_matrix[videoLink],MATCH(B157,xx_matrix[command],0),1),"_YES_"),"YES")))</f>
        <v/>
      </c>
      <c r="J157" t="str">
        <f>IFERROR(INDEX(xx_matrix[SrcModel],MATCH($B157,xx_matrix[command],0)),"")</f>
        <v/>
      </c>
      <c r="K157" t="str">
        <f>IFERROR(INDEX(xx_matrix[SrcObject],MATCH($B157,xx_matrix[command],0)),"")</f>
        <v/>
      </c>
      <c r="L157" t="str">
        <f>IFERROR(INDEX(xx_matrix[TgtModel],MATCH($B157,xx_matrix[command],0)),"")</f>
        <v/>
      </c>
      <c r="M157" t="str">
        <f>IFERROR(INDEX(xx_matrix[TgtObject],MATCH($B157,xx_matrix[command],0)),"")</f>
        <v/>
      </c>
      <c r="N157" t="str">
        <f>IFERROR(INDEX(xx_matrix[Instructions],MATCH($B157,xx_matrix[command],0)),"")</f>
        <v/>
      </c>
    </row>
    <row r="158" spans="1:14">
      <c r="A158" s="19"/>
      <c r="D158" s="36" t="str">
        <f>IF(ISBLANK(B158),"",IF(ISERROR(MATCH(B158,xx_matrix[command],0)),FALSE,IF(ISTEXT(INDEX(xx_matrix[videoLink],MATCH(B158,xx_matrix[command],0),1)),HYPERLINK(INDEX(xx_matrix[videoLink],MATCH(B158,xx_matrix[command],0),1),"_YES_"),"YES")))</f>
        <v/>
      </c>
      <c r="J158" t="str">
        <f>IFERROR(INDEX(xx_matrix[SrcModel],MATCH($B158,xx_matrix[command],0)),"")</f>
        <v/>
      </c>
      <c r="K158" t="str">
        <f>IFERROR(INDEX(xx_matrix[SrcObject],MATCH($B158,xx_matrix[command],0)),"")</f>
        <v/>
      </c>
      <c r="L158" t="str">
        <f>IFERROR(INDEX(xx_matrix[TgtModel],MATCH($B158,xx_matrix[command],0)),"")</f>
        <v/>
      </c>
      <c r="M158" t="str">
        <f>IFERROR(INDEX(xx_matrix[TgtObject],MATCH($B158,xx_matrix[command],0)),"")</f>
        <v/>
      </c>
      <c r="N158" t="str">
        <f>IFERROR(INDEX(xx_matrix[Instructions],MATCH($B158,xx_matrix[command],0)),"")</f>
        <v/>
      </c>
    </row>
    <row r="159" spans="1:14">
      <c r="A159" s="19"/>
      <c r="D159" s="36" t="str">
        <f>IF(ISBLANK(B159),"",IF(ISERROR(MATCH(B159,xx_matrix[command],0)),FALSE,IF(ISTEXT(INDEX(xx_matrix[videoLink],MATCH(B159,xx_matrix[command],0),1)),HYPERLINK(INDEX(xx_matrix[videoLink],MATCH(B159,xx_matrix[command],0),1),"_YES_"),"YES")))</f>
        <v/>
      </c>
      <c r="J159" t="str">
        <f>IFERROR(INDEX(xx_matrix[SrcModel],MATCH($B159,xx_matrix[command],0)),"")</f>
        <v/>
      </c>
      <c r="K159" t="str">
        <f>IFERROR(INDEX(xx_matrix[SrcObject],MATCH($B159,xx_matrix[command],0)),"")</f>
        <v/>
      </c>
      <c r="L159" t="str">
        <f>IFERROR(INDEX(xx_matrix[TgtModel],MATCH($B159,xx_matrix[command],0)),"")</f>
        <v/>
      </c>
      <c r="M159" t="str">
        <f>IFERROR(INDEX(xx_matrix[TgtObject],MATCH($B159,xx_matrix[command],0)),"")</f>
        <v/>
      </c>
      <c r="N159" t="str">
        <f>IFERROR(INDEX(xx_matrix[Instructions],MATCH($B159,xx_matrix[command],0)),"")</f>
        <v/>
      </c>
    </row>
    <row r="160" spans="1:14">
      <c r="A160" s="19"/>
      <c r="D160" s="36" t="str">
        <f>IF(ISBLANK(B160),"",IF(ISERROR(MATCH(B160,xx_matrix[command],0)),FALSE,IF(ISTEXT(INDEX(xx_matrix[videoLink],MATCH(B160,xx_matrix[command],0),1)),HYPERLINK(INDEX(xx_matrix[videoLink],MATCH(B160,xx_matrix[command],0),1),"_YES_"),"YES")))</f>
        <v/>
      </c>
      <c r="J160" t="str">
        <f>IFERROR(INDEX(xx_matrix[SrcModel],MATCH($B160,xx_matrix[command],0)),"")</f>
        <v/>
      </c>
      <c r="K160" t="str">
        <f>IFERROR(INDEX(xx_matrix[SrcObject],MATCH($B160,xx_matrix[command],0)),"")</f>
        <v/>
      </c>
      <c r="L160" t="str">
        <f>IFERROR(INDEX(xx_matrix[TgtModel],MATCH($B160,xx_matrix[command],0)),"")</f>
        <v/>
      </c>
      <c r="M160" t="str">
        <f>IFERROR(INDEX(xx_matrix[TgtObject],MATCH($B160,xx_matrix[command],0)),"")</f>
        <v/>
      </c>
      <c r="N160" t="str">
        <f>IFERROR(INDEX(xx_matrix[Instructions],MATCH($B160,xx_matrix[command],0)),"")</f>
        <v/>
      </c>
    </row>
    <row r="161" spans="1:14">
      <c r="A161" s="19"/>
      <c r="D161" s="36" t="str">
        <f>IF(ISBLANK(B161),"",IF(ISERROR(MATCH(B161,xx_matrix[command],0)),FALSE,IF(ISTEXT(INDEX(xx_matrix[videoLink],MATCH(B161,xx_matrix[command],0),1)),HYPERLINK(INDEX(xx_matrix[videoLink],MATCH(B161,xx_matrix[command],0),1),"_YES_"),"YES")))</f>
        <v/>
      </c>
      <c r="J161" t="str">
        <f>IFERROR(INDEX(xx_matrix[SrcModel],MATCH($B161,xx_matrix[command],0)),"")</f>
        <v/>
      </c>
      <c r="K161" t="str">
        <f>IFERROR(INDEX(xx_matrix[SrcObject],MATCH($B161,xx_matrix[command],0)),"")</f>
        <v/>
      </c>
      <c r="L161" t="str">
        <f>IFERROR(INDEX(xx_matrix[TgtModel],MATCH($B161,xx_matrix[command],0)),"")</f>
        <v/>
      </c>
      <c r="M161" t="str">
        <f>IFERROR(INDEX(xx_matrix[TgtObject],MATCH($B161,xx_matrix[command],0)),"")</f>
        <v/>
      </c>
      <c r="N161" t="str">
        <f>IFERROR(INDEX(xx_matrix[Instructions],MATCH($B161,xx_matrix[command],0)),"")</f>
        <v/>
      </c>
    </row>
    <row r="162" spans="1:14">
      <c r="A162" s="19"/>
      <c r="D162" s="36" t="str">
        <f>IF(ISBLANK(B162),"",IF(ISERROR(MATCH(B162,xx_matrix[command],0)),FALSE,IF(ISTEXT(INDEX(xx_matrix[videoLink],MATCH(B162,xx_matrix[command],0),1)),HYPERLINK(INDEX(xx_matrix[videoLink],MATCH(B162,xx_matrix[command],0),1),"_YES_"),"YES")))</f>
        <v/>
      </c>
      <c r="J162" t="str">
        <f>IFERROR(INDEX(xx_matrix[SrcModel],MATCH($B162,xx_matrix[command],0)),"")</f>
        <v/>
      </c>
      <c r="K162" t="str">
        <f>IFERROR(INDEX(xx_matrix[SrcObject],MATCH($B162,xx_matrix[command],0)),"")</f>
        <v/>
      </c>
      <c r="L162" t="str">
        <f>IFERROR(INDEX(xx_matrix[TgtModel],MATCH($B162,xx_matrix[command],0)),"")</f>
        <v/>
      </c>
      <c r="M162" t="str">
        <f>IFERROR(INDEX(xx_matrix[TgtObject],MATCH($B162,xx_matrix[command],0)),"")</f>
        <v/>
      </c>
      <c r="N162" t="str">
        <f>IFERROR(INDEX(xx_matrix[Instructions],MATCH($B162,xx_matrix[command],0)),"")</f>
        <v/>
      </c>
    </row>
    <row r="163" spans="1:14">
      <c r="A163" s="19"/>
      <c r="D163" s="36" t="str">
        <f>IF(ISBLANK(B163),"",IF(ISERROR(MATCH(B163,xx_matrix[command],0)),FALSE,IF(ISTEXT(INDEX(xx_matrix[videoLink],MATCH(B163,xx_matrix[command],0),1)),HYPERLINK(INDEX(xx_matrix[videoLink],MATCH(B163,xx_matrix[command],0),1),"_YES_"),"YES")))</f>
        <v/>
      </c>
      <c r="J163" t="str">
        <f>IFERROR(INDEX(xx_matrix[SrcModel],MATCH($B163,xx_matrix[command],0)),"")</f>
        <v/>
      </c>
      <c r="K163" t="str">
        <f>IFERROR(INDEX(xx_matrix[SrcObject],MATCH($B163,xx_matrix[command],0)),"")</f>
        <v/>
      </c>
      <c r="L163" t="str">
        <f>IFERROR(INDEX(xx_matrix[TgtModel],MATCH($B163,xx_matrix[command],0)),"")</f>
        <v/>
      </c>
      <c r="M163" t="str">
        <f>IFERROR(INDEX(xx_matrix[TgtObject],MATCH($B163,xx_matrix[command],0)),"")</f>
        <v/>
      </c>
      <c r="N163" t="str">
        <f>IFERROR(INDEX(xx_matrix[Instructions],MATCH($B163,xx_matrix[command],0)),"")</f>
        <v/>
      </c>
    </row>
    <row r="164" spans="1:14">
      <c r="A164" s="19"/>
      <c r="D164" s="36" t="str">
        <f>IF(ISBLANK(B164),"",IF(ISERROR(MATCH(B164,xx_matrix[command],0)),FALSE,IF(ISTEXT(INDEX(xx_matrix[videoLink],MATCH(B164,xx_matrix[command],0),1)),HYPERLINK(INDEX(xx_matrix[videoLink],MATCH(B164,xx_matrix[command],0),1),"_YES_"),"YES")))</f>
        <v/>
      </c>
      <c r="J164" t="str">
        <f>IFERROR(INDEX(xx_matrix[SrcModel],MATCH($B164,xx_matrix[command],0)),"")</f>
        <v/>
      </c>
      <c r="K164" t="str">
        <f>IFERROR(INDEX(xx_matrix[SrcObject],MATCH($B164,xx_matrix[command],0)),"")</f>
        <v/>
      </c>
      <c r="L164" t="str">
        <f>IFERROR(INDEX(xx_matrix[TgtModel],MATCH($B164,xx_matrix[command],0)),"")</f>
        <v/>
      </c>
      <c r="M164" t="str">
        <f>IFERROR(INDEX(xx_matrix[TgtObject],MATCH($B164,xx_matrix[command],0)),"")</f>
        <v/>
      </c>
      <c r="N164" t="str">
        <f>IFERROR(INDEX(xx_matrix[Instructions],MATCH($B164,xx_matrix[command],0)),"")</f>
        <v/>
      </c>
    </row>
    <row r="165" spans="1:14">
      <c r="A165" s="19"/>
      <c r="D165" s="36" t="str">
        <f>IF(ISBLANK(B165),"",IF(ISERROR(MATCH(B165,xx_matrix[command],0)),FALSE,IF(ISTEXT(INDEX(xx_matrix[videoLink],MATCH(B165,xx_matrix[command],0),1)),HYPERLINK(INDEX(xx_matrix[videoLink],MATCH(B165,xx_matrix[command],0),1),"_YES_"),"YES")))</f>
        <v/>
      </c>
      <c r="J165" t="str">
        <f>IFERROR(INDEX(xx_matrix[SrcModel],MATCH($B165,xx_matrix[command],0)),"")</f>
        <v/>
      </c>
      <c r="K165" t="str">
        <f>IFERROR(INDEX(xx_matrix[SrcObject],MATCH($B165,xx_matrix[command],0)),"")</f>
        <v/>
      </c>
      <c r="L165" t="str">
        <f>IFERROR(INDEX(xx_matrix[TgtModel],MATCH($B165,xx_matrix[command],0)),"")</f>
        <v/>
      </c>
      <c r="M165" t="str">
        <f>IFERROR(INDEX(xx_matrix[TgtObject],MATCH($B165,xx_matrix[command],0)),"")</f>
        <v/>
      </c>
      <c r="N165" t="str">
        <f>IFERROR(INDEX(xx_matrix[Instructions],MATCH($B165,xx_matrix[command],0)),"")</f>
        <v/>
      </c>
    </row>
    <row r="166" spans="1:14">
      <c r="A166" s="19"/>
      <c r="D166" s="36" t="str">
        <f>IF(ISBLANK(B166),"",IF(ISERROR(MATCH(B166,xx_matrix[command],0)),FALSE,IF(ISTEXT(INDEX(xx_matrix[videoLink],MATCH(B166,xx_matrix[command],0),1)),HYPERLINK(INDEX(xx_matrix[videoLink],MATCH(B166,xx_matrix[command],0),1),"_YES_"),"YES")))</f>
        <v/>
      </c>
      <c r="J166" t="str">
        <f>IFERROR(INDEX(xx_matrix[SrcModel],MATCH($B166,xx_matrix[command],0)),"")</f>
        <v/>
      </c>
      <c r="K166" t="str">
        <f>IFERROR(INDEX(xx_matrix[SrcObject],MATCH($B166,xx_matrix[command],0)),"")</f>
        <v/>
      </c>
      <c r="L166" t="str">
        <f>IFERROR(INDEX(xx_matrix[TgtModel],MATCH($B166,xx_matrix[command],0)),"")</f>
        <v/>
      </c>
      <c r="M166" t="str">
        <f>IFERROR(INDEX(xx_matrix[TgtObject],MATCH($B166,xx_matrix[command],0)),"")</f>
        <v/>
      </c>
      <c r="N166" t="str">
        <f>IFERROR(INDEX(xx_matrix[Instructions],MATCH($B166,xx_matrix[command],0)),"")</f>
        <v/>
      </c>
    </row>
    <row r="167" spans="1:14">
      <c r="A167" s="19"/>
      <c r="D167" s="36" t="str">
        <f>IF(ISBLANK(B167),"",IF(ISERROR(MATCH(B167,xx_matrix[command],0)),FALSE,IF(ISTEXT(INDEX(xx_matrix[videoLink],MATCH(B167,xx_matrix[command],0),1)),HYPERLINK(INDEX(xx_matrix[videoLink],MATCH(B167,xx_matrix[command],0),1),"_YES_"),"YES")))</f>
        <v/>
      </c>
      <c r="J167" t="str">
        <f>IFERROR(INDEX(xx_matrix[SrcModel],MATCH($B167,xx_matrix[command],0)),"")</f>
        <v/>
      </c>
      <c r="K167" t="str">
        <f>IFERROR(INDEX(xx_matrix[SrcObject],MATCH($B167,xx_matrix[command],0)),"")</f>
        <v/>
      </c>
      <c r="L167" t="str">
        <f>IFERROR(INDEX(xx_matrix[TgtModel],MATCH($B167,xx_matrix[command],0)),"")</f>
        <v/>
      </c>
      <c r="M167" t="str">
        <f>IFERROR(INDEX(xx_matrix[TgtObject],MATCH($B167,xx_matrix[command],0)),"")</f>
        <v/>
      </c>
      <c r="N167" t="str">
        <f>IFERROR(INDEX(xx_matrix[Instructions],MATCH($B167,xx_matrix[command],0)),"")</f>
        <v/>
      </c>
    </row>
    <row r="168" spans="1:14">
      <c r="A168" s="19"/>
      <c r="D168" s="36" t="str">
        <f>IF(ISBLANK(B168),"",IF(ISERROR(MATCH(B168,xx_matrix[command],0)),FALSE,IF(ISTEXT(INDEX(xx_matrix[videoLink],MATCH(B168,xx_matrix[command],0),1)),HYPERLINK(INDEX(xx_matrix[videoLink],MATCH(B168,xx_matrix[command],0),1),"_YES_"),"YES")))</f>
        <v/>
      </c>
      <c r="J168" t="str">
        <f>IFERROR(INDEX(xx_matrix[SrcModel],MATCH($B168,xx_matrix[command],0)),"")</f>
        <v/>
      </c>
      <c r="K168" t="str">
        <f>IFERROR(INDEX(xx_matrix[SrcObject],MATCH($B168,xx_matrix[command],0)),"")</f>
        <v/>
      </c>
      <c r="L168" t="str">
        <f>IFERROR(INDEX(xx_matrix[TgtModel],MATCH($B168,xx_matrix[command],0)),"")</f>
        <v/>
      </c>
      <c r="M168" t="str">
        <f>IFERROR(INDEX(xx_matrix[TgtObject],MATCH($B168,xx_matrix[command],0)),"")</f>
        <v/>
      </c>
      <c r="N168" t="str">
        <f>IFERROR(INDEX(xx_matrix[Instructions],MATCH($B168,xx_matrix[command],0)),"")</f>
        <v/>
      </c>
    </row>
    <row r="169" spans="1:14">
      <c r="A169" s="19"/>
      <c r="D169" s="36" t="str">
        <f>IF(ISBLANK(B169),"",IF(ISERROR(MATCH(B169,xx_matrix[command],0)),FALSE,IF(ISTEXT(INDEX(xx_matrix[videoLink],MATCH(B169,xx_matrix[command],0),1)),HYPERLINK(INDEX(xx_matrix[videoLink],MATCH(B169,xx_matrix[command],0),1),"_YES_"),"YES")))</f>
        <v/>
      </c>
      <c r="J169" t="str">
        <f>IFERROR(INDEX(xx_matrix[SrcModel],MATCH($B169,xx_matrix[command],0)),"")</f>
        <v/>
      </c>
      <c r="K169" t="str">
        <f>IFERROR(INDEX(xx_matrix[SrcObject],MATCH($B169,xx_matrix[command],0)),"")</f>
        <v/>
      </c>
      <c r="L169" t="str">
        <f>IFERROR(INDEX(xx_matrix[TgtModel],MATCH($B169,xx_matrix[command],0)),"")</f>
        <v/>
      </c>
      <c r="M169" t="str">
        <f>IFERROR(INDEX(xx_matrix[TgtObject],MATCH($B169,xx_matrix[command],0)),"")</f>
        <v/>
      </c>
      <c r="N169" t="str">
        <f>IFERROR(INDEX(xx_matrix[Instructions],MATCH($B169,xx_matrix[command],0)),"")</f>
        <v/>
      </c>
    </row>
    <row r="170" spans="1:14">
      <c r="A170" s="19"/>
      <c r="D170" s="36" t="str">
        <f>IF(ISBLANK(B170),"",IF(ISERROR(MATCH(B170,xx_matrix[command],0)),FALSE,IF(ISTEXT(INDEX(xx_matrix[videoLink],MATCH(B170,xx_matrix[command],0),1)),HYPERLINK(INDEX(xx_matrix[videoLink],MATCH(B170,xx_matrix[command],0),1),"_YES_"),"YES")))</f>
        <v/>
      </c>
      <c r="J170" t="str">
        <f>IFERROR(INDEX(xx_matrix[SrcModel],MATCH($B170,xx_matrix[command],0)),"")</f>
        <v/>
      </c>
      <c r="K170" t="str">
        <f>IFERROR(INDEX(xx_matrix[SrcObject],MATCH($B170,xx_matrix[command],0)),"")</f>
        <v/>
      </c>
      <c r="L170" t="str">
        <f>IFERROR(INDEX(xx_matrix[TgtModel],MATCH($B170,xx_matrix[command],0)),"")</f>
        <v/>
      </c>
      <c r="M170" t="str">
        <f>IFERROR(INDEX(xx_matrix[TgtObject],MATCH($B170,xx_matrix[command],0)),"")</f>
        <v/>
      </c>
      <c r="N170" t="str">
        <f>IFERROR(INDEX(xx_matrix[Instructions],MATCH($B170,xx_matrix[command],0)),"")</f>
        <v/>
      </c>
    </row>
    <row r="171" spans="1:14">
      <c r="A171" s="19"/>
      <c r="D171" s="36" t="str">
        <f>IF(ISBLANK(B171),"",IF(ISERROR(MATCH(B171,xx_matrix[command],0)),FALSE,IF(ISTEXT(INDEX(xx_matrix[videoLink],MATCH(B171,xx_matrix[command],0),1)),HYPERLINK(INDEX(xx_matrix[videoLink],MATCH(B171,xx_matrix[command],0),1),"_YES_"),"YES")))</f>
        <v/>
      </c>
      <c r="J171" t="str">
        <f>IFERROR(INDEX(xx_matrix[SrcModel],MATCH($B171,xx_matrix[command],0)),"")</f>
        <v/>
      </c>
      <c r="K171" t="str">
        <f>IFERROR(INDEX(xx_matrix[SrcObject],MATCH($B171,xx_matrix[command],0)),"")</f>
        <v/>
      </c>
      <c r="L171" t="str">
        <f>IFERROR(INDEX(xx_matrix[TgtModel],MATCH($B171,xx_matrix[command],0)),"")</f>
        <v/>
      </c>
      <c r="M171" t="str">
        <f>IFERROR(INDEX(xx_matrix[TgtObject],MATCH($B171,xx_matrix[command],0)),"")</f>
        <v/>
      </c>
      <c r="N171" t="str">
        <f>IFERROR(INDEX(xx_matrix[Instructions],MATCH($B171,xx_matrix[command],0)),"")</f>
        <v/>
      </c>
    </row>
    <row r="172" spans="1:14">
      <c r="A172" s="19"/>
      <c r="D172" s="36" t="str">
        <f>IF(ISBLANK(B172),"",IF(ISERROR(MATCH(B172,xx_matrix[command],0)),FALSE,IF(ISTEXT(INDEX(xx_matrix[videoLink],MATCH(B172,xx_matrix[command],0),1)),HYPERLINK(INDEX(xx_matrix[videoLink],MATCH(B172,xx_matrix[command],0),1),"_YES_"),"YES")))</f>
        <v/>
      </c>
      <c r="J172" t="str">
        <f>IFERROR(INDEX(xx_matrix[SrcModel],MATCH($B172,xx_matrix[command],0)),"")</f>
        <v/>
      </c>
      <c r="K172" t="str">
        <f>IFERROR(INDEX(xx_matrix[SrcObject],MATCH($B172,xx_matrix[command],0)),"")</f>
        <v/>
      </c>
      <c r="L172" t="str">
        <f>IFERROR(INDEX(xx_matrix[TgtModel],MATCH($B172,xx_matrix[command],0)),"")</f>
        <v/>
      </c>
      <c r="M172" t="str">
        <f>IFERROR(INDEX(xx_matrix[TgtObject],MATCH($B172,xx_matrix[command],0)),"")</f>
        <v/>
      </c>
      <c r="N172" t="str">
        <f>IFERROR(INDEX(xx_matrix[Instructions],MATCH($B172,xx_matrix[command],0)),"")</f>
        <v/>
      </c>
    </row>
    <row r="173" spans="1:14">
      <c r="A173" s="19"/>
      <c r="D173" s="36" t="str">
        <f>IF(ISBLANK(B173),"",IF(ISERROR(MATCH(B173,xx_matrix[command],0)),FALSE,IF(ISTEXT(INDEX(xx_matrix[videoLink],MATCH(B173,xx_matrix[command],0),1)),HYPERLINK(INDEX(xx_matrix[videoLink],MATCH(B173,xx_matrix[command],0),1),"_YES_"),"YES")))</f>
        <v/>
      </c>
      <c r="J173" t="str">
        <f>IFERROR(INDEX(xx_matrix[SrcModel],MATCH($B173,xx_matrix[command],0)),"")</f>
        <v/>
      </c>
      <c r="K173" t="str">
        <f>IFERROR(INDEX(xx_matrix[SrcObject],MATCH($B173,xx_matrix[command],0)),"")</f>
        <v/>
      </c>
      <c r="L173" t="str">
        <f>IFERROR(INDEX(xx_matrix[TgtModel],MATCH($B173,xx_matrix[command],0)),"")</f>
        <v/>
      </c>
      <c r="M173" t="str">
        <f>IFERROR(INDEX(xx_matrix[TgtObject],MATCH($B173,xx_matrix[command],0)),"")</f>
        <v/>
      </c>
      <c r="N173" t="str">
        <f>IFERROR(INDEX(xx_matrix[Instructions],MATCH($B173,xx_matrix[command],0)),"")</f>
        <v/>
      </c>
    </row>
    <row r="174" spans="1:14">
      <c r="A174" s="19"/>
      <c r="D174" s="36" t="str">
        <f>IF(ISBLANK(B174),"",IF(ISERROR(MATCH(B174,xx_matrix[command],0)),FALSE,IF(ISTEXT(INDEX(xx_matrix[videoLink],MATCH(B174,xx_matrix[command],0),1)),HYPERLINK(INDEX(xx_matrix[videoLink],MATCH(B174,xx_matrix[command],0),1),"_YES_"),"YES")))</f>
        <v/>
      </c>
      <c r="J174" t="str">
        <f>IFERROR(INDEX(xx_matrix[SrcModel],MATCH($B174,xx_matrix[command],0)),"")</f>
        <v/>
      </c>
      <c r="K174" t="str">
        <f>IFERROR(INDEX(xx_matrix[SrcObject],MATCH($B174,xx_matrix[command],0)),"")</f>
        <v/>
      </c>
      <c r="L174" t="str">
        <f>IFERROR(INDEX(xx_matrix[TgtModel],MATCH($B174,xx_matrix[command],0)),"")</f>
        <v/>
      </c>
      <c r="M174" t="str">
        <f>IFERROR(INDEX(xx_matrix[TgtObject],MATCH($B174,xx_matrix[command],0)),"")</f>
        <v/>
      </c>
      <c r="N174" t="str">
        <f>IFERROR(INDEX(xx_matrix[Instructions],MATCH($B174,xx_matrix[command],0)),"")</f>
        <v/>
      </c>
    </row>
    <row r="175" spans="1:14">
      <c r="A175" s="19"/>
      <c r="D175" s="36" t="str">
        <f>IF(ISBLANK(B175),"",IF(ISERROR(MATCH(B175,xx_matrix[command],0)),FALSE,IF(ISTEXT(INDEX(xx_matrix[videoLink],MATCH(B175,xx_matrix[command],0),1)),HYPERLINK(INDEX(xx_matrix[videoLink],MATCH(B175,xx_matrix[command],0),1),"_YES_"),"YES")))</f>
        <v/>
      </c>
      <c r="J175" t="str">
        <f>IFERROR(INDEX(xx_matrix[SrcModel],MATCH($B175,xx_matrix[command],0)),"")</f>
        <v/>
      </c>
      <c r="K175" t="str">
        <f>IFERROR(INDEX(xx_matrix[SrcObject],MATCH($B175,xx_matrix[command],0)),"")</f>
        <v/>
      </c>
      <c r="L175" t="str">
        <f>IFERROR(INDEX(xx_matrix[TgtModel],MATCH($B175,xx_matrix[command],0)),"")</f>
        <v/>
      </c>
      <c r="M175" t="str">
        <f>IFERROR(INDEX(xx_matrix[TgtObject],MATCH($B175,xx_matrix[command],0)),"")</f>
        <v/>
      </c>
      <c r="N175" t="str">
        <f>IFERROR(INDEX(xx_matrix[Instructions],MATCH($B175,xx_matrix[command],0)),"")</f>
        <v/>
      </c>
    </row>
    <row r="176" spans="1:14">
      <c r="A176" s="19"/>
      <c r="D176" s="36" t="str">
        <f>IF(ISBLANK(B176),"",IF(ISERROR(MATCH(B176,xx_matrix[command],0)),FALSE,IF(ISTEXT(INDEX(xx_matrix[videoLink],MATCH(B176,xx_matrix[command],0),1)),HYPERLINK(INDEX(xx_matrix[videoLink],MATCH(B176,xx_matrix[command],0),1),"_YES_"),"YES")))</f>
        <v/>
      </c>
      <c r="J176" t="str">
        <f>IFERROR(INDEX(xx_matrix[SrcModel],MATCH($B176,xx_matrix[command],0)),"")</f>
        <v/>
      </c>
      <c r="K176" t="str">
        <f>IFERROR(INDEX(xx_matrix[SrcObject],MATCH($B176,xx_matrix[command],0)),"")</f>
        <v/>
      </c>
      <c r="L176" t="str">
        <f>IFERROR(INDEX(xx_matrix[TgtModel],MATCH($B176,xx_matrix[command],0)),"")</f>
        <v/>
      </c>
      <c r="M176" t="str">
        <f>IFERROR(INDEX(xx_matrix[TgtObject],MATCH($B176,xx_matrix[command],0)),"")</f>
        <v/>
      </c>
      <c r="N176" t="str">
        <f>IFERROR(INDEX(xx_matrix[Instructions],MATCH($B176,xx_matrix[command],0)),"")</f>
        <v/>
      </c>
    </row>
    <row r="177" spans="1:14">
      <c r="A177" s="19"/>
      <c r="D177" s="36" t="str">
        <f>IF(ISBLANK(B177),"",IF(ISERROR(MATCH(B177,xx_matrix[command],0)),FALSE,IF(ISTEXT(INDEX(xx_matrix[videoLink],MATCH(B177,xx_matrix[command],0),1)),HYPERLINK(INDEX(xx_matrix[videoLink],MATCH(B177,xx_matrix[command],0),1),"_YES_"),"YES")))</f>
        <v/>
      </c>
      <c r="J177" t="str">
        <f>IFERROR(INDEX(xx_matrix[SrcModel],MATCH($B177,xx_matrix[command],0)),"")</f>
        <v/>
      </c>
      <c r="K177" t="str">
        <f>IFERROR(INDEX(xx_matrix[SrcObject],MATCH($B177,xx_matrix[command],0)),"")</f>
        <v/>
      </c>
      <c r="L177" t="str">
        <f>IFERROR(INDEX(xx_matrix[TgtModel],MATCH($B177,xx_matrix[command],0)),"")</f>
        <v/>
      </c>
      <c r="M177" t="str">
        <f>IFERROR(INDEX(xx_matrix[TgtObject],MATCH($B177,xx_matrix[command],0)),"")</f>
        <v/>
      </c>
      <c r="N177" t="str">
        <f>IFERROR(INDEX(xx_matrix[Instructions],MATCH($B177,xx_matrix[command],0)),"")</f>
        <v/>
      </c>
    </row>
    <row r="178" spans="1:14">
      <c r="A178" s="19"/>
      <c r="D178" s="36" t="str">
        <f>IF(ISBLANK(B178),"",IF(ISERROR(MATCH(B178,xx_matrix[command],0)),FALSE,IF(ISTEXT(INDEX(xx_matrix[videoLink],MATCH(B178,xx_matrix[command],0),1)),HYPERLINK(INDEX(xx_matrix[videoLink],MATCH(B178,xx_matrix[command],0),1),"_YES_"),"YES")))</f>
        <v/>
      </c>
      <c r="J178" t="str">
        <f>IFERROR(INDEX(xx_matrix[SrcModel],MATCH($B178,xx_matrix[command],0)),"")</f>
        <v/>
      </c>
      <c r="K178" t="str">
        <f>IFERROR(INDEX(xx_matrix[SrcObject],MATCH($B178,xx_matrix[command],0)),"")</f>
        <v/>
      </c>
      <c r="L178" t="str">
        <f>IFERROR(INDEX(xx_matrix[TgtModel],MATCH($B178,xx_matrix[command],0)),"")</f>
        <v/>
      </c>
      <c r="M178" t="str">
        <f>IFERROR(INDEX(xx_matrix[TgtObject],MATCH($B178,xx_matrix[command],0)),"")</f>
        <v/>
      </c>
      <c r="N178" t="str">
        <f>IFERROR(INDEX(xx_matrix[Instructions],MATCH($B178,xx_matrix[command],0)),"")</f>
        <v/>
      </c>
    </row>
    <row r="179" spans="1:14">
      <c r="A179" s="19"/>
      <c r="D179" s="36" t="str">
        <f>IF(ISBLANK(B179),"",IF(ISERROR(MATCH(B179,xx_matrix[command],0)),FALSE,IF(ISTEXT(INDEX(xx_matrix[videoLink],MATCH(B179,xx_matrix[command],0),1)),HYPERLINK(INDEX(xx_matrix[videoLink],MATCH(B179,xx_matrix[command],0),1),"_YES_"),"YES")))</f>
        <v/>
      </c>
      <c r="J179" t="str">
        <f>IFERROR(INDEX(xx_matrix[SrcModel],MATCH($B179,xx_matrix[command],0)),"")</f>
        <v/>
      </c>
      <c r="K179" t="str">
        <f>IFERROR(INDEX(xx_matrix[SrcObject],MATCH($B179,xx_matrix[command],0)),"")</f>
        <v/>
      </c>
      <c r="L179" t="str">
        <f>IFERROR(INDEX(xx_matrix[TgtModel],MATCH($B179,xx_matrix[command],0)),"")</f>
        <v/>
      </c>
      <c r="M179" t="str">
        <f>IFERROR(INDEX(xx_matrix[TgtObject],MATCH($B179,xx_matrix[command],0)),"")</f>
        <v/>
      </c>
      <c r="N179" t="str">
        <f>IFERROR(INDEX(xx_matrix[Instructions],MATCH($B179,xx_matrix[command],0)),"")</f>
        <v/>
      </c>
    </row>
    <row r="180" spans="1:14">
      <c r="A180" s="19"/>
      <c r="D180" s="36" t="str">
        <f>IF(ISBLANK(B180),"",IF(ISERROR(MATCH(B180,xx_matrix[command],0)),FALSE,IF(ISTEXT(INDEX(xx_matrix[videoLink],MATCH(B180,xx_matrix[command],0),1)),HYPERLINK(INDEX(xx_matrix[videoLink],MATCH(B180,xx_matrix[command],0),1),"_YES_"),"YES")))</f>
        <v/>
      </c>
      <c r="J180" t="str">
        <f>IFERROR(INDEX(xx_matrix[SrcModel],MATCH($B180,xx_matrix[command],0)),"")</f>
        <v/>
      </c>
      <c r="K180" t="str">
        <f>IFERROR(INDEX(xx_matrix[SrcObject],MATCH($B180,xx_matrix[command],0)),"")</f>
        <v/>
      </c>
      <c r="L180" t="str">
        <f>IFERROR(INDEX(xx_matrix[TgtModel],MATCH($B180,xx_matrix[command],0)),"")</f>
        <v/>
      </c>
      <c r="M180" t="str">
        <f>IFERROR(INDEX(xx_matrix[TgtObject],MATCH($B180,xx_matrix[command],0)),"")</f>
        <v/>
      </c>
      <c r="N180" t="str">
        <f>IFERROR(INDEX(xx_matrix[Instructions],MATCH($B180,xx_matrix[command],0)),"")</f>
        <v/>
      </c>
    </row>
    <row r="181" spans="1:14">
      <c r="A181" s="19"/>
      <c r="D181" s="36" t="str">
        <f>IF(ISBLANK(B181),"",IF(ISERROR(MATCH(B181,xx_matrix[command],0)),FALSE,IF(ISTEXT(INDEX(xx_matrix[videoLink],MATCH(B181,xx_matrix[command],0),1)),HYPERLINK(INDEX(xx_matrix[videoLink],MATCH(B181,xx_matrix[command],0),1),"_YES_"),"YES")))</f>
        <v/>
      </c>
      <c r="J181" t="str">
        <f>IFERROR(INDEX(xx_matrix[SrcModel],MATCH($B181,xx_matrix[command],0)),"")</f>
        <v/>
      </c>
      <c r="K181" t="str">
        <f>IFERROR(INDEX(xx_matrix[SrcObject],MATCH($B181,xx_matrix[command],0)),"")</f>
        <v/>
      </c>
      <c r="L181" t="str">
        <f>IFERROR(INDEX(xx_matrix[TgtModel],MATCH($B181,xx_matrix[command],0)),"")</f>
        <v/>
      </c>
      <c r="M181" t="str">
        <f>IFERROR(INDEX(xx_matrix[TgtObject],MATCH($B181,xx_matrix[command],0)),"")</f>
        <v/>
      </c>
      <c r="N181" t="str">
        <f>IFERROR(INDEX(xx_matrix[Instructions],MATCH($B181,xx_matrix[command],0)),"")</f>
        <v/>
      </c>
    </row>
    <row r="182" spans="1:14">
      <c r="A182" s="19"/>
      <c r="D182" s="36" t="str">
        <f>IF(ISBLANK(B182),"",IF(ISERROR(MATCH(B182,xx_matrix[command],0)),FALSE,IF(ISTEXT(INDEX(xx_matrix[videoLink],MATCH(B182,xx_matrix[command],0),1)),HYPERLINK(INDEX(xx_matrix[videoLink],MATCH(B182,xx_matrix[command],0),1),"_YES_"),"YES")))</f>
        <v/>
      </c>
      <c r="J182" t="str">
        <f>IFERROR(INDEX(xx_matrix[SrcModel],MATCH($B182,xx_matrix[command],0)),"")</f>
        <v/>
      </c>
      <c r="K182" t="str">
        <f>IFERROR(INDEX(xx_matrix[SrcObject],MATCH($B182,xx_matrix[command],0)),"")</f>
        <v/>
      </c>
      <c r="L182" t="str">
        <f>IFERROR(INDEX(xx_matrix[TgtModel],MATCH($B182,xx_matrix[command],0)),"")</f>
        <v/>
      </c>
      <c r="M182" t="str">
        <f>IFERROR(INDEX(xx_matrix[TgtObject],MATCH($B182,xx_matrix[command],0)),"")</f>
        <v/>
      </c>
      <c r="N182" t="str">
        <f>IFERROR(INDEX(xx_matrix[Instructions],MATCH($B182,xx_matrix[command],0)),"")</f>
        <v/>
      </c>
    </row>
    <row r="183" spans="1:14">
      <c r="A183" s="19"/>
      <c r="D183" s="36" t="str">
        <f>IF(ISBLANK(B183),"",IF(ISERROR(MATCH(B183,xx_matrix[command],0)),FALSE,IF(ISTEXT(INDEX(xx_matrix[videoLink],MATCH(B183,xx_matrix[command],0),1)),HYPERLINK(INDEX(xx_matrix[videoLink],MATCH(B183,xx_matrix[command],0),1),"_YES_"),"YES")))</f>
        <v/>
      </c>
      <c r="J183" t="str">
        <f>IFERROR(INDEX(xx_matrix[SrcModel],MATCH($B183,xx_matrix[command],0)),"")</f>
        <v/>
      </c>
      <c r="K183" t="str">
        <f>IFERROR(INDEX(xx_matrix[SrcObject],MATCH($B183,xx_matrix[command],0)),"")</f>
        <v/>
      </c>
      <c r="L183" t="str">
        <f>IFERROR(INDEX(xx_matrix[TgtModel],MATCH($B183,xx_matrix[command],0)),"")</f>
        <v/>
      </c>
      <c r="M183" t="str">
        <f>IFERROR(INDEX(xx_matrix[TgtObject],MATCH($B183,xx_matrix[command],0)),"")</f>
        <v/>
      </c>
      <c r="N183" t="str">
        <f>IFERROR(INDEX(xx_matrix[Instructions],MATCH($B183,xx_matrix[command],0)),"")</f>
        <v/>
      </c>
    </row>
    <row r="184" spans="1:14">
      <c r="A184" s="19"/>
      <c r="D184" s="36" t="str">
        <f>IF(ISBLANK(B184),"",IF(ISERROR(MATCH(B184,xx_matrix[command],0)),FALSE,IF(ISTEXT(INDEX(xx_matrix[videoLink],MATCH(B184,xx_matrix[command],0),1)),HYPERLINK(INDEX(xx_matrix[videoLink],MATCH(B184,xx_matrix[command],0),1),"_YES_"),"YES")))</f>
        <v/>
      </c>
      <c r="J184" t="str">
        <f>IFERROR(INDEX(xx_matrix[SrcModel],MATCH($B184,xx_matrix[command],0)),"")</f>
        <v/>
      </c>
      <c r="K184" t="str">
        <f>IFERROR(INDEX(xx_matrix[SrcObject],MATCH($B184,xx_matrix[command],0)),"")</f>
        <v/>
      </c>
      <c r="L184" t="str">
        <f>IFERROR(INDEX(xx_matrix[TgtModel],MATCH($B184,xx_matrix[command],0)),"")</f>
        <v/>
      </c>
      <c r="M184" t="str">
        <f>IFERROR(INDEX(xx_matrix[TgtObject],MATCH($B184,xx_matrix[command],0)),"")</f>
        <v/>
      </c>
      <c r="N184" t="str">
        <f>IFERROR(INDEX(xx_matrix[Instructions],MATCH($B184,xx_matrix[command],0)),"")</f>
        <v/>
      </c>
    </row>
    <row r="185" spans="1:14">
      <c r="A185" s="19"/>
      <c r="D185" s="36" t="str">
        <f>IF(ISBLANK(B185),"",IF(ISERROR(MATCH(B185,xx_matrix[command],0)),FALSE,IF(ISTEXT(INDEX(xx_matrix[videoLink],MATCH(B185,xx_matrix[command],0),1)),HYPERLINK(INDEX(xx_matrix[videoLink],MATCH(B185,xx_matrix[command],0),1),"_YES_"),"YES")))</f>
        <v/>
      </c>
      <c r="J185" t="str">
        <f>IFERROR(INDEX(xx_matrix[SrcModel],MATCH($B185,xx_matrix[command],0)),"")</f>
        <v/>
      </c>
      <c r="K185" t="str">
        <f>IFERROR(INDEX(xx_matrix[SrcObject],MATCH($B185,xx_matrix[command],0)),"")</f>
        <v/>
      </c>
      <c r="L185" t="str">
        <f>IFERROR(INDEX(xx_matrix[TgtModel],MATCH($B185,xx_matrix[command],0)),"")</f>
        <v/>
      </c>
      <c r="M185" t="str">
        <f>IFERROR(INDEX(xx_matrix[TgtObject],MATCH($B185,xx_matrix[command],0)),"")</f>
        <v/>
      </c>
      <c r="N185" t="str">
        <f>IFERROR(INDEX(xx_matrix[Instructions],MATCH($B185,xx_matrix[command],0)),"")</f>
        <v/>
      </c>
    </row>
    <row r="186" spans="1:14">
      <c r="A186" s="19"/>
      <c r="D186" s="36" t="str">
        <f>IF(ISBLANK(B186),"",IF(ISERROR(MATCH(B186,xx_matrix[command],0)),FALSE,IF(ISTEXT(INDEX(xx_matrix[videoLink],MATCH(B186,xx_matrix[command],0),1)),HYPERLINK(INDEX(xx_matrix[videoLink],MATCH(B186,xx_matrix[command],0),1),"_YES_"),"YES")))</f>
        <v/>
      </c>
      <c r="J186" t="str">
        <f>IFERROR(INDEX(xx_matrix[SrcModel],MATCH($B186,xx_matrix[command],0)),"")</f>
        <v/>
      </c>
      <c r="K186" t="str">
        <f>IFERROR(INDEX(xx_matrix[SrcObject],MATCH($B186,xx_matrix[command],0)),"")</f>
        <v/>
      </c>
      <c r="L186" t="str">
        <f>IFERROR(INDEX(xx_matrix[TgtModel],MATCH($B186,xx_matrix[command],0)),"")</f>
        <v/>
      </c>
      <c r="M186" t="str">
        <f>IFERROR(INDEX(xx_matrix[TgtObject],MATCH($B186,xx_matrix[command],0)),"")</f>
        <v/>
      </c>
      <c r="N186" t="str">
        <f>IFERROR(INDEX(xx_matrix[Instructions],MATCH($B186,xx_matrix[command],0)),"")</f>
        <v/>
      </c>
    </row>
    <row r="187" spans="1:14">
      <c r="A187" s="19"/>
      <c r="D187" s="36" t="str">
        <f>IF(ISBLANK(B187),"",IF(ISERROR(MATCH(B187,xx_matrix[command],0)),FALSE,IF(ISTEXT(INDEX(xx_matrix[videoLink],MATCH(B187,xx_matrix[command],0),1)),HYPERLINK(INDEX(xx_matrix[videoLink],MATCH(B187,xx_matrix[command],0),1),"_YES_"),"YES")))</f>
        <v/>
      </c>
      <c r="J187" t="str">
        <f>IFERROR(INDEX(xx_matrix[SrcModel],MATCH($B187,xx_matrix[command],0)),"")</f>
        <v/>
      </c>
      <c r="K187" t="str">
        <f>IFERROR(INDEX(xx_matrix[SrcObject],MATCH($B187,xx_matrix[command],0)),"")</f>
        <v/>
      </c>
      <c r="L187" t="str">
        <f>IFERROR(INDEX(xx_matrix[TgtModel],MATCH($B187,xx_matrix[command],0)),"")</f>
        <v/>
      </c>
      <c r="M187" t="str">
        <f>IFERROR(INDEX(xx_matrix[TgtObject],MATCH($B187,xx_matrix[command],0)),"")</f>
        <v/>
      </c>
      <c r="N187" t="str">
        <f>IFERROR(INDEX(xx_matrix[Instructions],MATCH($B187,xx_matrix[command],0)),"")</f>
        <v/>
      </c>
    </row>
    <row r="188" spans="1:14">
      <c r="A188" s="19"/>
      <c r="D188" s="36" t="str">
        <f>IF(ISBLANK(B188),"",IF(ISERROR(MATCH(B188,xx_matrix[command],0)),FALSE,IF(ISTEXT(INDEX(xx_matrix[videoLink],MATCH(B188,xx_matrix[command],0),1)),HYPERLINK(INDEX(xx_matrix[videoLink],MATCH(B188,xx_matrix[command],0),1),"_YES_"),"YES")))</f>
        <v/>
      </c>
      <c r="J188" t="str">
        <f>IFERROR(INDEX(xx_matrix[SrcModel],MATCH($B188,xx_matrix[command],0)),"")</f>
        <v/>
      </c>
      <c r="K188" t="str">
        <f>IFERROR(INDEX(xx_matrix[SrcObject],MATCH($B188,xx_matrix[command],0)),"")</f>
        <v/>
      </c>
      <c r="L188" t="str">
        <f>IFERROR(INDEX(xx_matrix[TgtModel],MATCH($B188,xx_matrix[command],0)),"")</f>
        <v/>
      </c>
      <c r="M188" t="str">
        <f>IFERROR(INDEX(xx_matrix[TgtObject],MATCH($B188,xx_matrix[command],0)),"")</f>
        <v/>
      </c>
      <c r="N188" t="str">
        <f>IFERROR(INDEX(xx_matrix[Instructions],MATCH($B188,xx_matrix[command],0)),"")</f>
        <v/>
      </c>
    </row>
    <row r="189" spans="1:14">
      <c r="A189" s="19"/>
      <c r="D189" s="36" t="str">
        <f>IF(ISBLANK(B189),"",IF(ISERROR(MATCH(B189,xx_matrix[command],0)),FALSE,IF(ISTEXT(INDEX(xx_matrix[videoLink],MATCH(B189,xx_matrix[command],0),1)),HYPERLINK(INDEX(xx_matrix[videoLink],MATCH(B189,xx_matrix[command],0),1),"_YES_"),"YES")))</f>
        <v/>
      </c>
      <c r="J189" t="str">
        <f>IFERROR(INDEX(xx_matrix[SrcModel],MATCH($B189,xx_matrix[command],0)),"")</f>
        <v/>
      </c>
      <c r="K189" t="str">
        <f>IFERROR(INDEX(xx_matrix[SrcObject],MATCH($B189,xx_matrix[command],0)),"")</f>
        <v/>
      </c>
      <c r="L189" t="str">
        <f>IFERROR(INDEX(xx_matrix[TgtModel],MATCH($B189,xx_matrix[command],0)),"")</f>
        <v/>
      </c>
      <c r="M189" t="str">
        <f>IFERROR(INDEX(xx_matrix[TgtObject],MATCH($B189,xx_matrix[command],0)),"")</f>
        <v/>
      </c>
      <c r="N189" t="str">
        <f>IFERROR(INDEX(xx_matrix[Instructions],MATCH($B189,xx_matrix[command],0)),"")</f>
        <v/>
      </c>
    </row>
    <row r="190" spans="1:14">
      <c r="A190" s="19"/>
      <c r="D190" s="36" t="str">
        <f>IF(ISBLANK(B190),"",IF(ISERROR(MATCH(B190,xx_matrix[command],0)),FALSE,IF(ISTEXT(INDEX(xx_matrix[videoLink],MATCH(B190,xx_matrix[command],0),1)),HYPERLINK(INDEX(xx_matrix[videoLink],MATCH(B190,xx_matrix[command],0),1),"_YES_"),"YES")))</f>
        <v/>
      </c>
      <c r="J190" t="str">
        <f>IFERROR(INDEX(xx_matrix[SrcModel],MATCH($B190,xx_matrix[command],0)),"")</f>
        <v/>
      </c>
      <c r="K190" t="str">
        <f>IFERROR(INDEX(xx_matrix[SrcObject],MATCH($B190,xx_matrix[command],0)),"")</f>
        <v/>
      </c>
      <c r="L190" t="str">
        <f>IFERROR(INDEX(xx_matrix[TgtModel],MATCH($B190,xx_matrix[command],0)),"")</f>
        <v/>
      </c>
      <c r="M190" t="str">
        <f>IFERROR(INDEX(xx_matrix[TgtObject],MATCH($B190,xx_matrix[command],0)),"")</f>
        <v/>
      </c>
      <c r="N190" t="str">
        <f>IFERROR(INDEX(xx_matrix[Instructions],MATCH($B190,xx_matrix[command],0)),"")</f>
        <v/>
      </c>
    </row>
    <row r="191" spans="1:14">
      <c r="A191" s="19"/>
      <c r="D191" s="36" t="str">
        <f>IF(ISBLANK(B191),"",IF(ISERROR(MATCH(B191,xx_matrix[command],0)),FALSE,IF(ISTEXT(INDEX(xx_matrix[videoLink],MATCH(B191,xx_matrix[command],0),1)),HYPERLINK(INDEX(xx_matrix[videoLink],MATCH(B191,xx_matrix[command],0),1),"_YES_"),"YES")))</f>
        <v/>
      </c>
      <c r="J191" t="str">
        <f>IFERROR(INDEX(xx_matrix[SrcModel],MATCH($B191,xx_matrix[command],0)),"")</f>
        <v/>
      </c>
      <c r="K191" t="str">
        <f>IFERROR(INDEX(xx_matrix[SrcObject],MATCH($B191,xx_matrix[command],0)),"")</f>
        <v/>
      </c>
      <c r="L191" t="str">
        <f>IFERROR(INDEX(xx_matrix[TgtModel],MATCH($B191,xx_matrix[command],0)),"")</f>
        <v/>
      </c>
      <c r="M191" t="str">
        <f>IFERROR(INDEX(xx_matrix[TgtObject],MATCH($B191,xx_matrix[command],0)),"")</f>
        <v/>
      </c>
      <c r="N191" t="str">
        <f>IFERROR(INDEX(xx_matrix[Instructions],MATCH($B191,xx_matrix[command],0)),"")</f>
        <v/>
      </c>
    </row>
    <row r="192" spans="1:14">
      <c r="A192" s="19"/>
      <c r="D192" s="36" t="str">
        <f>IF(ISBLANK(B192),"",IF(ISERROR(MATCH(B192,xx_matrix[command],0)),FALSE,IF(ISTEXT(INDEX(xx_matrix[videoLink],MATCH(B192,xx_matrix[command],0),1)),HYPERLINK(INDEX(xx_matrix[videoLink],MATCH(B192,xx_matrix[command],0),1),"_YES_"),"YES")))</f>
        <v/>
      </c>
      <c r="J192" t="str">
        <f>IFERROR(INDEX(xx_matrix[SrcModel],MATCH($B192,xx_matrix[command],0)),"")</f>
        <v/>
      </c>
      <c r="K192" t="str">
        <f>IFERROR(INDEX(xx_matrix[SrcObject],MATCH($B192,xx_matrix[command],0)),"")</f>
        <v/>
      </c>
      <c r="L192" t="str">
        <f>IFERROR(INDEX(xx_matrix[TgtModel],MATCH($B192,xx_matrix[command],0)),"")</f>
        <v/>
      </c>
      <c r="M192" t="str">
        <f>IFERROR(INDEX(xx_matrix[TgtObject],MATCH($B192,xx_matrix[command],0)),"")</f>
        <v/>
      </c>
      <c r="N192" t="str">
        <f>IFERROR(INDEX(xx_matrix[Instructions],MATCH($B192,xx_matrix[command],0)),"")</f>
        <v/>
      </c>
    </row>
    <row r="193" spans="1:14">
      <c r="A193" s="19"/>
      <c r="D193" s="36" t="str">
        <f>IF(ISBLANK(B193),"",IF(ISERROR(MATCH(B193,xx_matrix[command],0)),FALSE,IF(ISTEXT(INDEX(xx_matrix[videoLink],MATCH(B193,xx_matrix[command],0),1)),HYPERLINK(INDEX(xx_matrix[videoLink],MATCH(B193,xx_matrix[command],0),1),"_YES_"),"YES")))</f>
        <v/>
      </c>
      <c r="J193" t="str">
        <f>IFERROR(INDEX(xx_matrix[SrcModel],MATCH($B193,xx_matrix[command],0)),"")</f>
        <v/>
      </c>
      <c r="K193" t="str">
        <f>IFERROR(INDEX(xx_matrix[SrcObject],MATCH($B193,xx_matrix[command],0)),"")</f>
        <v/>
      </c>
      <c r="L193" t="str">
        <f>IFERROR(INDEX(xx_matrix[TgtModel],MATCH($B193,xx_matrix[command],0)),"")</f>
        <v/>
      </c>
      <c r="M193" t="str">
        <f>IFERROR(INDEX(xx_matrix[TgtObject],MATCH($B193,xx_matrix[command],0)),"")</f>
        <v/>
      </c>
      <c r="N193" t="str">
        <f>IFERROR(INDEX(xx_matrix[Instructions],MATCH($B193,xx_matrix[command],0)),"")</f>
        <v/>
      </c>
    </row>
    <row r="194" spans="1:14">
      <c r="A194" s="19"/>
      <c r="D194" s="36" t="str">
        <f>IF(ISBLANK(B194),"",IF(ISERROR(MATCH(B194,xx_matrix[command],0)),FALSE,IF(ISTEXT(INDEX(xx_matrix[videoLink],MATCH(B194,xx_matrix[command],0),1)),HYPERLINK(INDEX(xx_matrix[videoLink],MATCH(B194,xx_matrix[command],0),1),"_YES_"),"YES")))</f>
        <v/>
      </c>
      <c r="J194" t="str">
        <f>IFERROR(INDEX(xx_matrix[SrcModel],MATCH($B194,xx_matrix[command],0)),"")</f>
        <v/>
      </c>
      <c r="K194" t="str">
        <f>IFERROR(INDEX(xx_matrix[SrcObject],MATCH($B194,xx_matrix[command],0)),"")</f>
        <v/>
      </c>
      <c r="L194" t="str">
        <f>IFERROR(INDEX(xx_matrix[TgtModel],MATCH($B194,xx_matrix[command],0)),"")</f>
        <v/>
      </c>
      <c r="M194" t="str">
        <f>IFERROR(INDEX(xx_matrix[TgtObject],MATCH($B194,xx_matrix[command],0)),"")</f>
        <v/>
      </c>
      <c r="N194" t="str">
        <f>IFERROR(INDEX(xx_matrix[Instructions],MATCH($B194,xx_matrix[command],0)),"")</f>
        <v/>
      </c>
    </row>
    <row r="195" spans="1:14">
      <c r="A195" s="19"/>
      <c r="D195" s="36" t="str">
        <f>IF(ISBLANK(B195),"",IF(ISERROR(MATCH(B195,xx_matrix[command],0)),FALSE,IF(ISTEXT(INDEX(xx_matrix[videoLink],MATCH(B195,xx_matrix[command],0),1)),HYPERLINK(INDEX(xx_matrix[videoLink],MATCH(B195,xx_matrix[command],0),1),"_YES_"),"YES")))</f>
        <v/>
      </c>
      <c r="J195" t="str">
        <f>IFERROR(INDEX(xx_matrix[SrcModel],MATCH($B195,xx_matrix[command],0)),"")</f>
        <v/>
      </c>
      <c r="K195" t="str">
        <f>IFERROR(INDEX(xx_matrix[SrcObject],MATCH($B195,xx_matrix[command],0)),"")</f>
        <v/>
      </c>
      <c r="L195" t="str">
        <f>IFERROR(INDEX(xx_matrix[TgtModel],MATCH($B195,xx_matrix[command],0)),"")</f>
        <v/>
      </c>
      <c r="M195" t="str">
        <f>IFERROR(INDEX(xx_matrix[TgtObject],MATCH($B195,xx_matrix[command],0)),"")</f>
        <v/>
      </c>
      <c r="N195" t="str">
        <f>IFERROR(INDEX(xx_matrix[Instructions],MATCH($B195,xx_matrix[command],0)),"")</f>
        <v/>
      </c>
    </row>
    <row r="196" spans="1:14">
      <c r="A196" s="19"/>
      <c r="D196" s="36" t="str">
        <f>IF(ISBLANK(B196),"",IF(ISERROR(MATCH(B196,xx_matrix[command],0)),FALSE,IF(ISTEXT(INDEX(xx_matrix[videoLink],MATCH(B196,xx_matrix[command],0),1)),HYPERLINK(INDEX(xx_matrix[videoLink],MATCH(B196,xx_matrix[command],0),1),"_YES_"),"YES")))</f>
        <v/>
      </c>
      <c r="J196" t="str">
        <f>IFERROR(INDEX(xx_matrix[SrcModel],MATCH($B196,xx_matrix[command],0)),"")</f>
        <v/>
      </c>
      <c r="K196" t="str">
        <f>IFERROR(INDEX(xx_matrix[SrcObject],MATCH($B196,xx_matrix[command],0)),"")</f>
        <v/>
      </c>
      <c r="L196" t="str">
        <f>IFERROR(INDEX(xx_matrix[TgtModel],MATCH($B196,xx_matrix[command],0)),"")</f>
        <v/>
      </c>
      <c r="M196" t="str">
        <f>IFERROR(INDEX(xx_matrix[TgtObject],MATCH($B196,xx_matrix[command],0)),"")</f>
        <v/>
      </c>
      <c r="N196" t="str">
        <f>IFERROR(INDEX(xx_matrix[Instructions],MATCH($B196,xx_matrix[command],0)),"")</f>
        <v/>
      </c>
    </row>
    <row r="197" spans="1:14">
      <c r="A197" s="19"/>
      <c r="D197" s="36" t="str">
        <f>IF(ISBLANK(B197),"",IF(ISERROR(MATCH(B197,xx_matrix[command],0)),FALSE,IF(ISTEXT(INDEX(xx_matrix[videoLink],MATCH(B197,xx_matrix[command],0),1)),HYPERLINK(INDEX(xx_matrix[videoLink],MATCH(B197,xx_matrix[command],0),1),"_YES_"),"YES")))</f>
        <v/>
      </c>
      <c r="J197" t="str">
        <f>IFERROR(INDEX(xx_matrix[SrcModel],MATCH($B197,xx_matrix[command],0)),"")</f>
        <v/>
      </c>
      <c r="K197" t="str">
        <f>IFERROR(INDEX(xx_matrix[SrcObject],MATCH($B197,xx_matrix[command],0)),"")</f>
        <v/>
      </c>
      <c r="L197" t="str">
        <f>IFERROR(INDEX(xx_matrix[TgtModel],MATCH($B197,xx_matrix[command],0)),"")</f>
        <v/>
      </c>
      <c r="M197" t="str">
        <f>IFERROR(INDEX(xx_matrix[TgtObject],MATCH($B197,xx_matrix[command],0)),"")</f>
        <v/>
      </c>
      <c r="N197" t="str">
        <f>IFERROR(INDEX(xx_matrix[Instructions],MATCH($B197,xx_matrix[command],0)),"")</f>
        <v/>
      </c>
    </row>
    <row r="198" spans="1:14">
      <c r="A198" s="19"/>
      <c r="D198" s="36" t="str">
        <f>IF(ISBLANK(B198),"",IF(ISERROR(MATCH(B198,xx_matrix[command],0)),FALSE,IF(ISTEXT(INDEX(xx_matrix[videoLink],MATCH(B198,xx_matrix[command],0),1)),HYPERLINK(INDEX(xx_matrix[videoLink],MATCH(B198,xx_matrix[command],0),1),"_YES_"),"YES")))</f>
        <v/>
      </c>
      <c r="J198" t="str">
        <f>IFERROR(INDEX(xx_matrix[SrcModel],MATCH($B198,xx_matrix[command],0)),"")</f>
        <v/>
      </c>
      <c r="K198" t="str">
        <f>IFERROR(INDEX(xx_matrix[SrcObject],MATCH($B198,xx_matrix[command],0)),"")</f>
        <v/>
      </c>
      <c r="L198" t="str">
        <f>IFERROR(INDEX(xx_matrix[TgtModel],MATCH($B198,xx_matrix[command],0)),"")</f>
        <v/>
      </c>
      <c r="M198" t="str">
        <f>IFERROR(INDEX(xx_matrix[TgtObject],MATCH($B198,xx_matrix[command],0)),"")</f>
        <v/>
      </c>
      <c r="N198" t="str">
        <f>IFERROR(INDEX(xx_matrix[Instructions],MATCH($B198,xx_matrix[command],0)),"")</f>
        <v/>
      </c>
    </row>
    <row r="199" spans="1:14">
      <c r="A199" s="19"/>
      <c r="D199" s="36" t="str">
        <f>IF(ISBLANK(B199),"",IF(ISERROR(MATCH(B199,xx_matrix[command],0)),FALSE,IF(ISTEXT(INDEX(xx_matrix[videoLink],MATCH(B199,xx_matrix[command],0),1)),HYPERLINK(INDEX(xx_matrix[videoLink],MATCH(B199,xx_matrix[command],0),1),"_YES_"),"YES")))</f>
        <v/>
      </c>
      <c r="J199" t="str">
        <f>IFERROR(INDEX(xx_matrix[SrcModel],MATCH($B199,xx_matrix[command],0)),"")</f>
        <v/>
      </c>
      <c r="K199" t="str">
        <f>IFERROR(INDEX(xx_matrix[SrcObject],MATCH($B199,xx_matrix[command],0)),"")</f>
        <v/>
      </c>
      <c r="L199" t="str">
        <f>IFERROR(INDEX(xx_matrix[TgtModel],MATCH($B199,xx_matrix[command],0)),"")</f>
        <v/>
      </c>
      <c r="M199" t="str">
        <f>IFERROR(INDEX(xx_matrix[TgtObject],MATCH($B199,xx_matrix[command],0)),"")</f>
        <v/>
      </c>
      <c r="N199" t="str">
        <f>IFERROR(INDEX(xx_matrix[Instructions],MATCH($B199,xx_matrix[command],0)),"")</f>
        <v/>
      </c>
    </row>
    <row r="200" spans="1:14">
      <c r="A200" s="19"/>
      <c r="D200" s="36" t="str">
        <f>IF(ISBLANK(B200),"",IF(ISERROR(MATCH(B200,xx_matrix[command],0)),FALSE,IF(ISTEXT(INDEX(xx_matrix[videoLink],MATCH(B200,xx_matrix[command],0),1)),HYPERLINK(INDEX(xx_matrix[videoLink],MATCH(B200,xx_matrix[command],0),1),"_YES_"),"YES")))</f>
        <v/>
      </c>
      <c r="J200" t="str">
        <f>IFERROR(INDEX(xx_matrix[SrcModel],MATCH($B200,xx_matrix[command],0)),"")</f>
        <v/>
      </c>
      <c r="K200" t="str">
        <f>IFERROR(INDEX(xx_matrix[SrcObject],MATCH($B200,xx_matrix[command],0)),"")</f>
        <v/>
      </c>
      <c r="L200" t="str">
        <f>IFERROR(INDEX(xx_matrix[TgtModel],MATCH($B200,xx_matrix[command],0)),"")</f>
        <v/>
      </c>
      <c r="M200" t="str">
        <f>IFERROR(INDEX(xx_matrix[TgtObject],MATCH($B200,xx_matrix[command],0)),"")</f>
        <v/>
      </c>
      <c r="N200" t="str">
        <f>IFERROR(INDEX(xx_matrix[Instructions],MATCH($B200,xx_matrix[command],0)),"")</f>
        <v/>
      </c>
    </row>
    <row r="201" spans="1:14">
      <c r="A201" s="19"/>
      <c r="D201" s="36" t="str">
        <f>IF(ISBLANK(B201),"",IF(ISERROR(MATCH(B201,xx_matrix[command],0)),FALSE,IF(ISTEXT(INDEX(xx_matrix[videoLink],MATCH(B201,xx_matrix[command],0),1)),HYPERLINK(INDEX(xx_matrix[videoLink],MATCH(B201,xx_matrix[command],0),1),"_YES_"),"YES")))</f>
        <v/>
      </c>
      <c r="J201" t="str">
        <f>IFERROR(INDEX(xx_matrix[SrcModel],MATCH($B201,xx_matrix[command],0)),"")</f>
        <v/>
      </c>
      <c r="K201" t="str">
        <f>IFERROR(INDEX(xx_matrix[SrcObject],MATCH($B201,xx_matrix[command],0)),"")</f>
        <v/>
      </c>
      <c r="L201" t="str">
        <f>IFERROR(INDEX(xx_matrix[TgtModel],MATCH($B201,xx_matrix[command],0)),"")</f>
        <v/>
      </c>
      <c r="M201" t="str">
        <f>IFERROR(INDEX(xx_matrix[TgtObject],MATCH($B201,xx_matrix[command],0)),"")</f>
        <v/>
      </c>
      <c r="N201" t="str">
        <f>IFERROR(INDEX(xx_matrix[Instructions],MATCH($B201,xx_matrix[command],0)),"")</f>
        <v/>
      </c>
    </row>
    <row r="202" spans="1:14">
      <c r="A202" s="19"/>
      <c r="D202" s="36" t="str">
        <f>IF(ISBLANK(B202),"",IF(ISERROR(MATCH(B202,xx_matrix[command],0)),FALSE,IF(ISTEXT(INDEX(xx_matrix[videoLink],MATCH(B202,xx_matrix[command],0),1)),HYPERLINK(INDEX(xx_matrix[videoLink],MATCH(B202,xx_matrix[command],0),1),"_YES_"),"YES")))</f>
        <v/>
      </c>
      <c r="J202" t="str">
        <f>IFERROR(INDEX(xx_matrix[SrcModel],MATCH($B202,xx_matrix[command],0)),"")</f>
        <v/>
      </c>
      <c r="K202" t="str">
        <f>IFERROR(INDEX(xx_matrix[SrcObject],MATCH($B202,xx_matrix[command],0)),"")</f>
        <v/>
      </c>
      <c r="L202" t="str">
        <f>IFERROR(INDEX(xx_matrix[TgtModel],MATCH($B202,xx_matrix[command],0)),"")</f>
        <v/>
      </c>
      <c r="M202" t="str">
        <f>IFERROR(INDEX(xx_matrix[TgtObject],MATCH($B202,xx_matrix[command],0)),"")</f>
        <v/>
      </c>
      <c r="N202" t="str">
        <f>IFERROR(INDEX(xx_matrix[Instructions],MATCH($B202,xx_matrix[command],0)),"")</f>
        <v/>
      </c>
    </row>
    <row r="203" spans="1:14">
      <c r="A203" s="19"/>
      <c r="D203" s="36" t="str">
        <f>IF(ISBLANK(B203),"",IF(ISERROR(MATCH(B203,xx_matrix[command],0)),FALSE,IF(ISTEXT(INDEX(xx_matrix[videoLink],MATCH(B203,xx_matrix[command],0),1)),HYPERLINK(INDEX(xx_matrix[videoLink],MATCH(B203,xx_matrix[command],0),1),"_YES_"),"YES")))</f>
        <v/>
      </c>
      <c r="J203" t="str">
        <f>IFERROR(INDEX(xx_matrix[SrcModel],MATCH($B203,xx_matrix[command],0)),"")</f>
        <v/>
      </c>
      <c r="K203" t="str">
        <f>IFERROR(INDEX(xx_matrix[SrcObject],MATCH($B203,xx_matrix[command],0)),"")</f>
        <v/>
      </c>
      <c r="L203" t="str">
        <f>IFERROR(INDEX(xx_matrix[TgtModel],MATCH($B203,xx_matrix[command],0)),"")</f>
        <v/>
      </c>
      <c r="M203" t="str">
        <f>IFERROR(INDEX(xx_matrix[TgtObject],MATCH($B203,xx_matrix[command],0)),"")</f>
        <v/>
      </c>
      <c r="N203" t="str">
        <f>IFERROR(INDEX(xx_matrix[Instructions],MATCH($B203,xx_matrix[command],0)),"")</f>
        <v/>
      </c>
    </row>
    <row r="204" spans="1:14">
      <c r="A204" s="19"/>
      <c r="D204" s="36" t="str">
        <f>IF(ISBLANK(B204),"",IF(ISERROR(MATCH(B204,xx_matrix[command],0)),FALSE,IF(ISTEXT(INDEX(xx_matrix[videoLink],MATCH(B204,xx_matrix[command],0),1)),HYPERLINK(INDEX(xx_matrix[videoLink],MATCH(B204,xx_matrix[command],0),1),"_YES_"),"YES")))</f>
        <v/>
      </c>
      <c r="J204" t="str">
        <f>IFERROR(INDEX(xx_matrix[SrcModel],MATCH($B204,xx_matrix[command],0)),"")</f>
        <v/>
      </c>
      <c r="K204" t="str">
        <f>IFERROR(INDEX(xx_matrix[SrcObject],MATCH($B204,xx_matrix[command],0)),"")</f>
        <v/>
      </c>
      <c r="L204" t="str">
        <f>IFERROR(INDEX(xx_matrix[TgtModel],MATCH($B204,xx_matrix[command],0)),"")</f>
        <v/>
      </c>
      <c r="M204" t="str">
        <f>IFERROR(INDEX(xx_matrix[TgtObject],MATCH($B204,xx_matrix[command],0)),"")</f>
        <v/>
      </c>
      <c r="N204" t="str">
        <f>IFERROR(INDEX(xx_matrix[Instructions],MATCH($B204,xx_matrix[command],0)),"")</f>
        <v/>
      </c>
    </row>
    <row r="205" spans="1:14">
      <c r="A205" s="19"/>
      <c r="D205" s="36" t="str">
        <f>IF(ISBLANK(B205),"",IF(ISERROR(MATCH(B205,xx_matrix[command],0)),FALSE,IF(ISTEXT(INDEX(xx_matrix[videoLink],MATCH(B205,xx_matrix[command],0),1)),HYPERLINK(INDEX(xx_matrix[videoLink],MATCH(B205,xx_matrix[command],0),1),"_YES_"),"YES")))</f>
        <v/>
      </c>
      <c r="J205" t="str">
        <f>IFERROR(INDEX(xx_matrix[SrcModel],MATCH($B205,xx_matrix[command],0)),"")</f>
        <v/>
      </c>
      <c r="K205" t="str">
        <f>IFERROR(INDEX(xx_matrix[SrcObject],MATCH($B205,xx_matrix[command],0)),"")</f>
        <v/>
      </c>
      <c r="L205" t="str">
        <f>IFERROR(INDEX(xx_matrix[TgtModel],MATCH($B205,xx_matrix[command],0)),"")</f>
        <v/>
      </c>
      <c r="M205" t="str">
        <f>IFERROR(INDEX(xx_matrix[TgtObject],MATCH($B205,xx_matrix[command],0)),"")</f>
        <v/>
      </c>
      <c r="N205" t="str">
        <f>IFERROR(INDEX(xx_matrix[Instructions],MATCH($B205,xx_matrix[command],0)),"")</f>
        <v/>
      </c>
    </row>
    <row r="206" spans="1:14">
      <c r="A206" s="19"/>
      <c r="D206" s="36" t="str">
        <f>IF(ISBLANK(B206),"",IF(ISERROR(MATCH(B206,xx_matrix[command],0)),FALSE,IF(ISTEXT(INDEX(xx_matrix[videoLink],MATCH(B206,xx_matrix[command],0),1)),HYPERLINK(INDEX(xx_matrix[videoLink],MATCH(B206,xx_matrix[command],0),1),"_YES_"),"YES")))</f>
        <v/>
      </c>
      <c r="J206" t="str">
        <f>IFERROR(INDEX(xx_matrix[SrcModel],MATCH($B206,xx_matrix[command],0)),"")</f>
        <v/>
      </c>
      <c r="K206" t="str">
        <f>IFERROR(INDEX(xx_matrix[SrcObject],MATCH($B206,xx_matrix[command],0)),"")</f>
        <v/>
      </c>
      <c r="L206" t="str">
        <f>IFERROR(INDEX(xx_matrix[TgtModel],MATCH($B206,xx_matrix[command],0)),"")</f>
        <v/>
      </c>
      <c r="M206" t="str">
        <f>IFERROR(INDEX(xx_matrix[TgtObject],MATCH($B206,xx_matrix[command],0)),"")</f>
        <v/>
      </c>
      <c r="N206" t="str">
        <f>IFERROR(INDEX(xx_matrix[Instructions],MATCH($B206,xx_matrix[command],0)),"")</f>
        <v/>
      </c>
    </row>
    <row r="207" spans="1:14">
      <c r="A207" s="19"/>
      <c r="D207" s="36" t="str">
        <f>IF(ISBLANK(B207),"",IF(ISERROR(MATCH(B207,xx_matrix[command],0)),FALSE,IF(ISTEXT(INDEX(xx_matrix[videoLink],MATCH(B207,xx_matrix[command],0),1)),HYPERLINK(INDEX(xx_matrix[videoLink],MATCH(B207,xx_matrix[command],0),1),"_YES_"),"YES")))</f>
        <v/>
      </c>
      <c r="J207" t="str">
        <f>IFERROR(INDEX(xx_matrix[SrcModel],MATCH($B207,xx_matrix[command],0)),"")</f>
        <v/>
      </c>
      <c r="K207" t="str">
        <f>IFERROR(INDEX(xx_matrix[SrcObject],MATCH($B207,xx_matrix[command],0)),"")</f>
        <v/>
      </c>
      <c r="L207" t="str">
        <f>IFERROR(INDEX(xx_matrix[TgtModel],MATCH($B207,xx_matrix[command],0)),"")</f>
        <v/>
      </c>
      <c r="M207" t="str">
        <f>IFERROR(INDEX(xx_matrix[TgtObject],MATCH($B207,xx_matrix[command],0)),"")</f>
        <v/>
      </c>
      <c r="N207" t="str">
        <f>IFERROR(INDEX(xx_matrix[Instructions],MATCH($B207,xx_matrix[command],0)),"")</f>
        <v/>
      </c>
    </row>
    <row r="208" spans="1:14">
      <c r="A208" s="19"/>
      <c r="D208" s="36" t="str">
        <f>IF(ISBLANK(B208),"",IF(ISERROR(MATCH(B208,xx_matrix[command],0)),FALSE,IF(ISTEXT(INDEX(xx_matrix[videoLink],MATCH(B208,xx_matrix[command],0),1)),HYPERLINK(INDEX(xx_matrix[videoLink],MATCH(B208,xx_matrix[command],0),1),"_YES_"),"YES")))</f>
        <v/>
      </c>
      <c r="J208" t="str">
        <f>IFERROR(INDEX(xx_matrix[SrcModel],MATCH($B208,xx_matrix[command],0)),"")</f>
        <v/>
      </c>
      <c r="K208" t="str">
        <f>IFERROR(INDEX(xx_matrix[SrcObject],MATCH($B208,xx_matrix[command],0)),"")</f>
        <v/>
      </c>
      <c r="L208" t="str">
        <f>IFERROR(INDEX(xx_matrix[TgtModel],MATCH($B208,xx_matrix[command],0)),"")</f>
        <v/>
      </c>
      <c r="M208" t="str">
        <f>IFERROR(INDEX(xx_matrix[TgtObject],MATCH($B208,xx_matrix[command],0)),"")</f>
        <v/>
      </c>
      <c r="N208" t="str">
        <f>IFERROR(INDEX(xx_matrix[Instructions],MATCH($B208,xx_matrix[command],0)),"")</f>
        <v/>
      </c>
    </row>
    <row r="209" spans="1:14">
      <c r="A209" s="19"/>
      <c r="D209" s="36" t="str">
        <f>IF(ISBLANK(B209),"",IF(ISERROR(MATCH(B209,xx_matrix[command],0)),FALSE,IF(ISTEXT(INDEX(xx_matrix[videoLink],MATCH(B209,xx_matrix[command],0),1)),HYPERLINK(INDEX(xx_matrix[videoLink],MATCH(B209,xx_matrix[command],0),1),"_YES_"),"YES")))</f>
        <v/>
      </c>
      <c r="J209" t="str">
        <f>IFERROR(INDEX(xx_matrix[SrcModel],MATCH($B209,xx_matrix[command],0)),"")</f>
        <v/>
      </c>
      <c r="K209" t="str">
        <f>IFERROR(INDEX(xx_matrix[SrcObject],MATCH($B209,xx_matrix[command],0)),"")</f>
        <v/>
      </c>
      <c r="L209" t="str">
        <f>IFERROR(INDEX(xx_matrix[TgtModel],MATCH($B209,xx_matrix[command],0)),"")</f>
        <v/>
      </c>
      <c r="M209" t="str">
        <f>IFERROR(INDEX(xx_matrix[TgtObject],MATCH($B209,xx_matrix[command],0)),"")</f>
        <v/>
      </c>
      <c r="N209" t="str">
        <f>IFERROR(INDEX(xx_matrix[Instructions],MATCH($B209,xx_matrix[command],0)),"")</f>
        <v/>
      </c>
    </row>
    <row r="210" spans="1:14">
      <c r="A210" s="19"/>
      <c r="D210" s="36" t="str">
        <f>IF(ISBLANK(B210),"",IF(ISERROR(MATCH(B210,xx_matrix[command],0)),FALSE,IF(ISTEXT(INDEX(xx_matrix[videoLink],MATCH(B210,xx_matrix[command],0),1)),HYPERLINK(INDEX(xx_matrix[videoLink],MATCH(B210,xx_matrix[command],0),1),"_YES_"),"YES")))</f>
        <v/>
      </c>
      <c r="J210" t="str">
        <f>IFERROR(INDEX(xx_matrix[SrcModel],MATCH($B210,xx_matrix[command],0)),"")</f>
        <v/>
      </c>
      <c r="K210" t="str">
        <f>IFERROR(INDEX(xx_matrix[SrcObject],MATCH($B210,xx_matrix[command],0)),"")</f>
        <v/>
      </c>
      <c r="L210" t="str">
        <f>IFERROR(INDEX(xx_matrix[TgtModel],MATCH($B210,xx_matrix[command],0)),"")</f>
        <v/>
      </c>
      <c r="M210" t="str">
        <f>IFERROR(INDEX(xx_matrix[TgtObject],MATCH($B210,xx_matrix[command],0)),"")</f>
        <v/>
      </c>
      <c r="N210" t="str">
        <f>IFERROR(INDEX(xx_matrix[Instructions],MATCH($B210,xx_matrix[command],0)),"")</f>
        <v/>
      </c>
    </row>
    <row r="211" spans="1:14">
      <c r="A211" s="19"/>
      <c r="D211" s="36" t="str">
        <f>IF(ISBLANK(B211),"",IF(ISERROR(MATCH(B211,xx_matrix[command],0)),FALSE,IF(ISTEXT(INDEX(xx_matrix[videoLink],MATCH(B211,xx_matrix[command],0),1)),HYPERLINK(INDEX(xx_matrix[videoLink],MATCH(B211,xx_matrix[command],0),1),"_YES_"),"YES")))</f>
        <v/>
      </c>
      <c r="J211" t="str">
        <f>IFERROR(INDEX(xx_matrix[SrcModel],MATCH($B211,xx_matrix[command],0)),"")</f>
        <v/>
      </c>
      <c r="K211" t="str">
        <f>IFERROR(INDEX(xx_matrix[SrcObject],MATCH($B211,xx_matrix[command],0)),"")</f>
        <v/>
      </c>
      <c r="L211" t="str">
        <f>IFERROR(INDEX(xx_matrix[TgtModel],MATCH($B211,xx_matrix[command],0)),"")</f>
        <v/>
      </c>
      <c r="M211" t="str">
        <f>IFERROR(INDEX(xx_matrix[TgtObject],MATCH($B211,xx_matrix[command],0)),"")</f>
        <v/>
      </c>
      <c r="N211" t="str">
        <f>IFERROR(INDEX(xx_matrix[Instructions],MATCH($B211,xx_matrix[command],0)),"")</f>
        <v/>
      </c>
    </row>
    <row r="212" spans="1:14">
      <c r="A212" s="19"/>
      <c r="D212" s="36" t="str">
        <f>IF(ISBLANK(B212),"",IF(ISERROR(MATCH(B212,xx_matrix[command],0)),FALSE,IF(ISTEXT(INDEX(xx_matrix[videoLink],MATCH(B212,xx_matrix[command],0),1)),HYPERLINK(INDEX(xx_matrix[videoLink],MATCH(B212,xx_matrix[command],0),1),"_YES_"),"YES")))</f>
        <v/>
      </c>
      <c r="J212" t="str">
        <f>IFERROR(INDEX(xx_matrix[SrcModel],MATCH($B212,xx_matrix[command],0)),"")</f>
        <v/>
      </c>
      <c r="K212" t="str">
        <f>IFERROR(INDEX(xx_matrix[SrcObject],MATCH($B212,xx_matrix[command],0)),"")</f>
        <v/>
      </c>
      <c r="L212" t="str">
        <f>IFERROR(INDEX(xx_matrix[TgtModel],MATCH($B212,xx_matrix[command],0)),"")</f>
        <v/>
      </c>
      <c r="M212" t="str">
        <f>IFERROR(INDEX(xx_matrix[TgtObject],MATCH($B212,xx_matrix[command],0)),"")</f>
        <v/>
      </c>
      <c r="N212" t="str">
        <f>IFERROR(INDEX(xx_matrix[Instructions],MATCH($B212,xx_matrix[command],0)),"")</f>
        <v/>
      </c>
    </row>
    <row r="213" spans="1:14">
      <c r="A213" s="19"/>
      <c r="D213" s="36" t="str">
        <f>IF(ISBLANK(B213),"",IF(ISERROR(MATCH(B213,xx_matrix[command],0)),FALSE,IF(ISTEXT(INDEX(xx_matrix[videoLink],MATCH(B213,xx_matrix[command],0),1)),HYPERLINK(INDEX(xx_matrix[videoLink],MATCH(B213,xx_matrix[command],0),1),"_YES_"),"YES")))</f>
        <v/>
      </c>
      <c r="J213" t="str">
        <f>IFERROR(INDEX(xx_matrix[SrcModel],MATCH($B213,xx_matrix[command],0)),"")</f>
        <v/>
      </c>
      <c r="K213" t="str">
        <f>IFERROR(INDEX(xx_matrix[SrcObject],MATCH($B213,xx_matrix[command],0)),"")</f>
        <v/>
      </c>
      <c r="L213" t="str">
        <f>IFERROR(INDEX(xx_matrix[TgtModel],MATCH($B213,xx_matrix[command],0)),"")</f>
        <v/>
      </c>
      <c r="M213" t="str">
        <f>IFERROR(INDEX(xx_matrix[TgtObject],MATCH($B213,xx_matrix[command],0)),"")</f>
        <v/>
      </c>
      <c r="N213" t="str">
        <f>IFERROR(INDEX(xx_matrix[Instructions],MATCH($B213,xx_matrix[command],0)),"")</f>
        <v/>
      </c>
    </row>
    <row r="214" spans="1:14">
      <c r="A214" s="19"/>
      <c r="D214" s="36" t="str">
        <f>IF(ISBLANK(B214),"",IF(ISERROR(MATCH(B214,xx_matrix[command],0)),FALSE,IF(ISTEXT(INDEX(xx_matrix[videoLink],MATCH(B214,xx_matrix[command],0),1)),HYPERLINK(INDEX(xx_matrix[videoLink],MATCH(B214,xx_matrix[command],0),1),"_YES_"),"YES")))</f>
        <v/>
      </c>
      <c r="J214" t="str">
        <f>IFERROR(INDEX(xx_matrix[SrcModel],MATCH($B214,xx_matrix[command],0)),"")</f>
        <v/>
      </c>
      <c r="K214" t="str">
        <f>IFERROR(INDEX(xx_matrix[SrcObject],MATCH($B214,xx_matrix[command],0)),"")</f>
        <v/>
      </c>
      <c r="L214" t="str">
        <f>IFERROR(INDEX(xx_matrix[TgtModel],MATCH($B214,xx_matrix[command],0)),"")</f>
        <v/>
      </c>
      <c r="M214" t="str">
        <f>IFERROR(INDEX(xx_matrix[TgtObject],MATCH($B214,xx_matrix[command],0)),"")</f>
        <v/>
      </c>
      <c r="N214" t="str">
        <f>IFERROR(INDEX(xx_matrix[Instructions],MATCH($B214,xx_matrix[command],0)),"")</f>
        <v/>
      </c>
    </row>
    <row r="215" spans="1:14">
      <c r="A215" s="19"/>
      <c r="D215" s="36" t="str">
        <f>IF(ISBLANK(B215),"",IF(ISERROR(MATCH(B215,xx_matrix[command],0)),FALSE,IF(ISTEXT(INDEX(xx_matrix[videoLink],MATCH(B215,xx_matrix[command],0),1)),HYPERLINK(INDEX(xx_matrix[videoLink],MATCH(B215,xx_matrix[command],0),1),"_YES_"),"YES")))</f>
        <v/>
      </c>
      <c r="J215" t="str">
        <f>IFERROR(INDEX(xx_matrix[SrcModel],MATCH($B215,xx_matrix[command],0)),"")</f>
        <v/>
      </c>
      <c r="K215" t="str">
        <f>IFERROR(INDEX(xx_matrix[SrcObject],MATCH($B215,xx_matrix[command],0)),"")</f>
        <v/>
      </c>
      <c r="L215" t="str">
        <f>IFERROR(INDEX(xx_matrix[TgtModel],MATCH($B215,xx_matrix[command],0)),"")</f>
        <v/>
      </c>
      <c r="M215" t="str">
        <f>IFERROR(INDEX(xx_matrix[TgtObject],MATCH($B215,xx_matrix[command],0)),"")</f>
        <v/>
      </c>
      <c r="N215" t="str">
        <f>IFERROR(INDEX(xx_matrix[Instructions],MATCH($B215,xx_matrix[command],0)),"")</f>
        <v/>
      </c>
    </row>
    <row r="216" spans="1:14">
      <c r="A216" s="19"/>
      <c r="D216" s="36" t="str">
        <f>IF(ISBLANK(B216),"",IF(ISERROR(MATCH(B216,xx_matrix[command],0)),FALSE,IF(ISTEXT(INDEX(xx_matrix[videoLink],MATCH(B216,xx_matrix[command],0),1)),HYPERLINK(INDEX(xx_matrix[videoLink],MATCH(B216,xx_matrix[command],0),1),"_YES_"),"YES")))</f>
        <v/>
      </c>
      <c r="J216" t="str">
        <f>IFERROR(INDEX(xx_matrix[SrcModel],MATCH($B216,xx_matrix[command],0)),"")</f>
        <v/>
      </c>
      <c r="K216" t="str">
        <f>IFERROR(INDEX(xx_matrix[SrcObject],MATCH($B216,xx_matrix[command],0)),"")</f>
        <v/>
      </c>
      <c r="L216" t="str">
        <f>IFERROR(INDEX(xx_matrix[TgtModel],MATCH($B216,xx_matrix[command],0)),"")</f>
        <v/>
      </c>
      <c r="M216" t="str">
        <f>IFERROR(INDEX(xx_matrix[TgtObject],MATCH($B216,xx_matrix[command],0)),"")</f>
        <v/>
      </c>
      <c r="N216" t="str">
        <f>IFERROR(INDEX(xx_matrix[Instructions],MATCH($B216,xx_matrix[command],0)),"")</f>
        <v/>
      </c>
    </row>
    <row r="217" spans="1:14">
      <c r="A217" s="19"/>
      <c r="D217" s="36" t="str">
        <f>IF(ISBLANK(B217),"",IF(ISERROR(MATCH(B217,xx_matrix[command],0)),FALSE,IF(ISTEXT(INDEX(xx_matrix[videoLink],MATCH(B217,xx_matrix[command],0),1)),HYPERLINK(INDEX(xx_matrix[videoLink],MATCH(B217,xx_matrix[command],0),1),"_YES_"),"YES")))</f>
        <v/>
      </c>
      <c r="J217" t="str">
        <f>IFERROR(INDEX(xx_matrix[SrcModel],MATCH($B217,xx_matrix[command],0)),"")</f>
        <v/>
      </c>
      <c r="K217" t="str">
        <f>IFERROR(INDEX(xx_matrix[SrcObject],MATCH($B217,xx_matrix[command],0)),"")</f>
        <v/>
      </c>
      <c r="L217" t="str">
        <f>IFERROR(INDEX(xx_matrix[TgtModel],MATCH($B217,xx_matrix[command],0)),"")</f>
        <v/>
      </c>
      <c r="M217" t="str">
        <f>IFERROR(INDEX(xx_matrix[TgtObject],MATCH($B217,xx_matrix[command],0)),"")</f>
        <v/>
      </c>
      <c r="N217" t="str">
        <f>IFERROR(INDEX(xx_matrix[Instructions],MATCH($B217,xx_matrix[command],0)),"")</f>
        <v/>
      </c>
    </row>
    <row r="218" spans="1:14">
      <c r="A218" s="19"/>
      <c r="D218" s="36" t="str">
        <f>IF(ISBLANK(B218),"",IF(ISERROR(MATCH(B218,xx_matrix[command],0)),FALSE,IF(ISTEXT(INDEX(xx_matrix[videoLink],MATCH(B218,xx_matrix[command],0),1)),HYPERLINK(INDEX(xx_matrix[videoLink],MATCH(B218,xx_matrix[command],0),1),"_YES_"),"YES")))</f>
        <v/>
      </c>
      <c r="J218" t="str">
        <f>IFERROR(INDEX(xx_matrix[SrcModel],MATCH($B218,xx_matrix[command],0)),"")</f>
        <v/>
      </c>
      <c r="K218" t="str">
        <f>IFERROR(INDEX(xx_matrix[SrcObject],MATCH($B218,xx_matrix[command],0)),"")</f>
        <v/>
      </c>
      <c r="L218" t="str">
        <f>IFERROR(INDEX(xx_matrix[TgtModel],MATCH($B218,xx_matrix[command],0)),"")</f>
        <v/>
      </c>
      <c r="M218" t="str">
        <f>IFERROR(INDEX(xx_matrix[TgtObject],MATCH($B218,xx_matrix[command],0)),"")</f>
        <v/>
      </c>
      <c r="N218" t="str">
        <f>IFERROR(INDEX(xx_matrix[Instructions],MATCH($B218,xx_matrix[command],0)),"")</f>
        <v/>
      </c>
    </row>
    <row r="219" spans="1:14">
      <c r="A219" s="19"/>
      <c r="D219" s="36" t="str">
        <f>IF(ISBLANK(B219),"",IF(ISERROR(MATCH(B219,xx_matrix[command],0)),FALSE,IF(ISTEXT(INDEX(xx_matrix[videoLink],MATCH(B219,xx_matrix[command],0),1)),HYPERLINK(INDEX(xx_matrix[videoLink],MATCH(B219,xx_matrix[command],0),1),"_YES_"),"YES")))</f>
        <v/>
      </c>
      <c r="J219" t="str">
        <f>IFERROR(INDEX(xx_matrix[SrcModel],MATCH($B219,xx_matrix[command],0)),"")</f>
        <v/>
      </c>
      <c r="K219" t="str">
        <f>IFERROR(INDEX(xx_matrix[SrcObject],MATCH($B219,xx_matrix[command],0)),"")</f>
        <v/>
      </c>
      <c r="L219" t="str">
        <f>IFERROR(INDEX(xx_matrix[TgtModel],MATCH($B219,xx_matrix[command],0)),"")</f>
        <v/>
      </c>
      <c r="M219" t="str">
        <f>IFERROR(INDEX(xx_matrix[TgtObject],MATCH($B219,xx_matrix[command],0)),"")</f>
        <v/>
      </c>
      <c r="N219" t="str">
        <f>IFERROR(INDEX(xx_matrix[Instructions],MATCH($B219,xx_matrix[command],0)),"")</f>
        <v/>
      </c>
    </row>
    <row r="220" spans="1:14">
      <c r="A220" s="19"/>
      <c r="D220" s="36" t="str">
        <f>IF(ISBLANK(B220),"",IF(ISERROR(MATCH(B220,xx_matrix[command],0)),FALSE,IF(ISTEXT(INDEX(xx_matrix[videoLink],MATCH(B220,xx_matrix[command],0),1)),HYPERLINK(INDEX(xx_matrix[videoLink],MATCH(B220,xx_matrix[command],0),1),"_YES_"),"YES")))</f>
        <v/>
      </c>
      <c r="J220" t="str">
        <f>IFERROR(INDEX(xx_matrix[SrcModel],MATCH($B220,xx_matrix[command],0)),"")</f>
        <v/>
      </c>
      <c r="K220" t="str">
        <f>IFERROR(INDEX(xx_matrix[SrcObject],MATCH($B220,xx_matrix[command],0)),"")</f>
        <v/>
      </c>
      <c r="L220" t="str">
        <f>IFERROR(INDEX(xx_matrix[TgtModel],MATCH($B220,xx_matrix[command],0)),"")</f>
        <v/>
      </c>
      <c r="M220" t="str">
        <f>IFERROR(INDEX(xx_matrix[TgtObject],MATCH($B220,xx_matrix[command],0)),"")</f>
        <v/>
      </c>
      <c r="N220" t="str">
        <f>IFERROR(INDEX(xx_matrix[Instructions],MATCH($B220,xx_matrix[command],0)),"")</f>
        <v/>
      </c>
    </row>
    <row r="221" spans="1:14">
      <c r="A221" s="19"/>
      <c r="D221" s="36" t="str">
        <f>IF(ISBLANK(B221),"",IF(ISERROR(MATCH(B221,xx_matrix[command],0)),FALSE,IF(ISTEXT(INDEX(xx_matrix[videoLink],MATCH(B221,xx_matrix[command],0),1)),HYPERLINK(INDEX(xx_matrix[videoLink],MATCH(B221,xx_matrix[command],0),1),"_YES_"),"YES")))</f>
        <v/>
      </c>
      <c r="J221" t="str">
        <f>IFERROR(INDEX(xx_matrix[SrcModel],MATCH($B221,xx_matrix[command],0)),"")</f>
        <v/>
      </c>
      <c r="K221" t="str">
        <f>IFERROR(INDEX(xx_matrix[SrcObject],MATCH($B221,xx_matrix[command],0)),"")</f>
        <v/>
      </c>
      <c r="L221" t="str">
        <f>IFERROR(INDEX(xx_matrix[TgtModel],MATCH($B221,xx_matrix[command],0)),"")</f>
        <v/>
      </c>
      <c r="M221" t="str">
        <f>IFERROR(INDEX(xx_matrix[TgtObject],MATCH($B221,xx_matrix[command],0)),"")</f>
        <v/>
      </c>
      <c r="N221" t="str">
        <f>IFERROR(INDEX(xx_matrix[Instructions],MATCH($B221,xx_matrix[command],0)),"")</f>
        <v/>
      </c>
    </row>
    <row r="222" spans="1:14">
      <c r="A222" s="19"/>
      <c r="D222" s="36" t="str">
        <f>IF(ISBLANK(B222),"",IF(ISERROR(MATCH(B222,xx_matrix[command],0)),FALSE,IF(ISTEXT(INDEX(xx_matrix[videoLink],MATCH(B222,xx_matrix[command],0),1)),HYPERLINK(INDEX(xx_matrix[videoLink],MATCH(B222,xx_matrix[command],0),1),"_YES_"),"YES")))</f>
        <v/>
      </c>
      <c r="J222" t="str">
        <f>IFERROR(INDEX(xx_matrix[SrcModel],MATCH($B222,xx_matrix[command],0)),"")</f>
        <v/>
      </c>
      <c r="K222" t="str">
        <f>IFERROR(INDEX(xx_matrix[SrcObject],MATCH($B222,xx_matrix[command],0)),"")</f>
        <v/>
      </c>
      <c r="L222" t="str">
        <f>IFERROR(INDEX(xx_matrix[TgtModel],MATCH($B222,xx_matrix[command],0)),"")</f>
        <v/>
      </c>
      <c r="M222" t="str">
        <f>IFERROR(INDEX(xx_matrix[TgtObject],MATCH($B222,xx_matrix[command],0)),"")</f>
        <v/>
      </c>
      <c r="N222" t="str">
        <f>IFERROR(INDEX(xx_matrix[Instructions],MATCH($B222,xx_matrix[command],0)),"")</f>
        <v/>
      </c>
    </row>
    <row r="223" spans="1:14">
      <c r="A223" s="19"/>
      <c r="D223" s="36" t="str">
        <f>IF(ISBLANK(B223),"",IF(ISERROR(MATCH(B223,xx_matrix[command],0)),FALSE,IF(ISTEXT(INDEX(xx_matrix[videoLink],MATCH(B223,xx_matrix[command],0),1)),HYPERLINK(INDEX(xx_matrix[videoLink],MATCH(B223,xx_matrix[command],0),1),"_YES_"),"YES")))</f>
        <v/>
      </c>
      <c r="J223" t="str">
        <f>IFERROR(INDEX(xx_matrix[SrcModel],MATCH($B223,xx_matrix[command],0)),"")</f>
        <v/>
      </c>
      <c r="K223" t="str">
        <f>IFERROR(INDEX(xx_matrix[SrcObject],MATCH($B223,xx_matrix[command],0)),"")</f>
        <v/>
      </c>
      <c r="L223" t="str">
        <f>IFERROR(INDEX(xx_matrix[TgtModel],MATCH($B223,xx_matrix[command],0)),"")</f>
        <v/>
      </c>
      <c r="M223" t="str">
        <f>IFERROR(INDEX(xx_matrix[TgtObject],MATCH($B223,xx_matrix[command],0)),"")</f>
        <v/>
      </c>
      <c r="N223" t="str">
        <f>IFERROR(INDEX(xx_matrix[Instructions],MATCH($B223,xx_matrix[command],0)),"")</f>
        <v/>
      </c>
    </row>
    <row r="224" spans="1:14">
      <c r="A224" s="19"/>
      <c r="D224" s="36" t="str">
        <f>IF(ISBLANK(B224),"",IF(ISERROR(MATCH(B224,xx_matrix[command],0)),FALSE,IF(ISTEXT(INDEX(xx_matrix[videoLink],MATCH(B224,xx_matrix[command],0),1)),HYPERLINK(INDEX(xx_matrix[videoLink],MATCH(B224,xx_matrix[command],0),1),"_YES_"),"YES")))</f>
        <v/>
      </c>
      <c r="J224" t="str">
        <f>IFERROR(INDEX(xx_matrix[SrcModel],MATCH($B224,xx_matrix[command],0)),"")</f>
        <v/>
      </c>
      <c r="K224" t="str">
        <f>IFERROR(INDEX(xx_matrix[SrcObject],MATCH($B224,xx_matrix[command],0)),"")</f>
        <v/>
      </c>
      <c r="L224" t="str">
        <f>IFERROR(INDEX(xx_matrix[TgtModel],MATCH($B224,xx_matrix[command],0)),"")</f>
        <v/>
      </c>
      <c r="M224" t="str">
        <f>IFERROR(INDEX(xx_matrix[TgtObject],MATCH($B224,xx_matrix[command],0)),"")</f>
        <v/>
      </c>
      <c r="N224" t="str">
        <f>IFERROR(INDEX(xx_matrix[Instructions],MATCH($B224,xx_matrix[command],0)),"")</f>
        <v/>
      </c>
    </row>
    <row r="225" spans="1:14">
      <c r="A225" s="19"/>
      <c r="D225" s="36" t="str">
        <f>IF(ISBLANK(B225),"",IF(ISERROR(MATCH(B225,xx_matrix[command],0)),FALSE,IF(ISTEXT(INDEX(xx_matrix[videoLink],MATCH(B225,xx_matrix[command],0),1)),HYPERLINK(INDEX(xx_matrix[videoLink],MATCH(B225,xx_matrix[command],0),1),"_YES_"),"YES")))</f>
        <v/>
      </c>
      <c r="J225" t="str">
        <f>IFERROR(INDEX(xx_matrix[SrcModel],MATCH($B225,xx_matrix[command],0)),"")</f>
        <v/>
      </c>
      <c r="K225" t="str">
        <f>IFERROR(INDEX(xx_matrix[SrcObject],MATCH($B225,xx_matrix[command],0)),"")</f>
        <v/>
      </c>
      <c r="L225" t="str">
        <f>IFERROR(INDEX(xx_matrix[TgtModel],MATCH($B225,xx_matrix[command],0)),"")</f>
        <v/>
      </c>
      <c r="M225" t="str">
        <f>IFERROR(INDEX(xx_matrix[TgtObject],MATCH($B225,xx_matrix[command],0)),"")</f>
        <v/>
      </c>
      <c r="N225" t="str">
        <f>IFERROR(INDEX(xx_matrix[Instructions],MATCH($B225,xx_matrix[command],0)),"")</f>
        <v/>
      </c>
    </row>
    <row r="226" spans="1:14">
      <c r="A226" s="19"/>
      <c r="D226" s="36" t="str">
        <f>IF(ISBLANK(B226),"",IF(ISERROR(MATCH(B226,xx_matrix[command],0)),FALSE,IF(ISTEXT(INDEX(xx_matrix[videoLink],MATCH(B226,xx_matrix[command],0),1)),HYPERLINK(INDEX(xx_matrix[videoLink],MATCH(B226,xx_matrix[command],0),1),"_YES_"),"YES")))</f>
        <v/>
      </c>
      <c r="J226" t="str">
        <f>IFERROR(INDEX(xx_matrix[SrcModel],MATCH($B226,xx_matrix[command],0)),"")</f>
        <v/>
      </c>
      <c r="K226" t="str">
        <f>IFERROR(INDEX(xx_matrix[SrcObject],MATCH($B226,xx_matrix[command],0)),"")</f>
        <v/>
      </c>
      <c r="L226" t="str">
        <f>IFERROR(INDEX(xx_matrix[TgtModel],MATCH($B226,xx_matrix[command],0)),"")</f>
        <v/>
      </c>
      <c r="M226" t="str">
        <f>IFERROR(INDEX(xx_matrix[TgtObject],MATCH($B226,xx_matrix[command],0)),"")</f>
        <v/>
      </c>
      <c r="N226" t="str">
        <f>IFERROR(INDEX(xx_matrix[Instructions],MATCH($B226,xx_matrix[command],0)),"")</f>
        <v/>
      </c>
    </row>
    <row r="227" spans="1:14">
      <c r="A227" s="19"/>
      <c r="D227" s="36" t="str">
        <f>IF(ISBLANK(B227),"",IF(ISERROR(MATCH(B227,xx_matrix[command],0)),FALSE,IF(ISTEXT(INDEX(xx_matrix[videoLink],MATCH(B227,xx_matrix[command],0),1)),HYPERLINK(INDEX(xx_matrix[videoLink],MATCH(B227,xx_matrix[command],0),1),"_YES_"),"YES")))</f>
        <v/>
      </c>
      <c r="J227" t="str">
        <f>IFERROR(INDEX(xx_matrix[SrcModel],MATCH($B227,xx_matrix[command],0)),"")</f>
        <v/>
      </c>
      <c r="K227" t="str">
        <f>IFERROR(INDEX(xx_matrix[SrcObject],MATCH($B227,xx_matrix[command],0)),"")</f>
        <v/>
      </c>
      <c r="L227" t="str">
        <f>IFERROR(INDEX(xx_matrix[TgtModel],MATCH($B227,xx_matrix[command],0)),"")</f>
        <v/>
      </c>
      <c r="M227" t="str">
        <f>IFERROR(INDEX(xx_matrix[TgtObject],MATCH($B227,xx_matrix[command],0)),"")</f>
        <v/>
      </c>
      <c r="N227" t="str">
        <f>IFERROR(INDEX(xx_matrix[Instructions],MATCH($B227,xx_matrix[command],0)),"")</f>
        <v/>
      </c>
    </row>
    <row r="228" spans="1:14">
      <c r="A228" s="19"/>
      <c r="D228" s="36" t="str">
        <f>IF(ISBLANK(B228),"",IF(ISERROR(MATCH(B228,xx_matrix[command],0)),FALSE,IF(ISTEXT(INDEX(xx_matrix[videoLink],MATCH(B228,xx_matrix[command],0),1)),HYPERLINK(INDEX(xx_matrix[videoLink],MATCH(B228,xx_matrix[command],0),1),"_YES_"),"YES")))</f>
        <v/>
      </c>
      <c r="J228" t="str">
        <f>IFERROR(INDEX(xx_matrix[SrcModel],MATCH($B228,xx_matrix[command],0)),"")</f>
        <v/>
      </c>
      <c r="K228" t="str">
        <f>IFERROR(INDEX(xx_matrix[SrcObject],MATCH($B228,xx_matrix[command],0)),"")</f>
        <v/>
      </c>
      <c r="L228" t="str">
        <f>IFERROR(INDEX(xx_matrix[TgtModel],MATCH($B228,xx_matrix[command],0)),"")</f>
        <v/>
      </c>
      <c r="M228" t="str">
        <f>IFERROR(INDEX(xx_matrix[TgtObject],MATCH($B228,xx_matrix[command],0)),"")</f>
        <v/>
      </c>
      <c r="N228" t="str">
        <f>IFERROR(INDEX(xx_matrix[Instructions],MATCH($B228,xx_matrix[command],0)),"")</f>
        <v/>
      </c>
    </row>
    <row r="229" spans="1:14">
      <c r="A229" s="19"/>
      <c r="D229" s="36" t="str">
        <f>IF(ISBLANK(B229),"",IF(ISERROR(MATCH(B229,xx_matrix[command],0)),FALSE,IF(ISTEXT(INDEX(xx_matrix[videoLink],MATCH(B229,xx_matrix[command],0),1)),HYPERLINK(INDEX(xx_matrix[videoLink],MATCH(B229,xx_matrix[command],0),1),"_YES_"),"YES")))</f>
        <v/>
      </c>
      <c r="J229" t="str">
        <f>IFERROR(INDEX(xx_matrix[SrcModel],MATCH($B229,xx_matrix[command],0)),"")</f>
        <v/>
      </c>
      <c r="K229" t="str">
        <f>IFERROR(INDEX(xx_matrix[SrcObject],MATCH($B229,xx_matrix[command],0)),"")</f>
        <v/>
      </c>
      <c r="L229" t="str">
        <f>IFERROR(INDEX(xx_matrix[TgtModel],MATCH($B229,xx_matrix[command],0)),"")</f>
        <v/>
      </c>
      <c r="M229" t="str">
        <f>IFERROR(INDEX(xx_matrix[TgtObject],MATCH($B229,xx_matrix[command],0)),"")</f>
        <v/>
      </c>
      <c r="N229" t="str">
        <f>IFERROR(INDEX(xx_matrix[Instructions],MATCH($B229,xx_matrix[command],0)),"")</f>
        <v/>
      </c>
    </row>
    <row r="230" spans="1:14">
      <c r="A230" s="19"/>
      <c r="D230" s="36" t="str">
        <f>IF(ISBLANK(B230),"",IF(ISERROR(MATCH(B230,xx_matrix[command],0)),FALSE,IF(ISTEXT(INDEX(xx_matrix[videoLink],MATCH(B230,xx_matrix[command],0),1)),HYPERLINK(INDEX(xx_matrix[videoLink],MATCH(B230,xx_matrix[command],0),1),"_YES_"),"YES")))</f>
        <v/>
      </c>
      <c r="J230" t="str">
        <f>IFERROR(INDEX(xx_matrix[SrcModel],MATCH($B230,xx_matrix[command],0)),"")</f>
        <v/>
      </c>
      <c r="K230" t="str">
        <f>IFERROR(INDEX(xx_matrix[SrcObject],MATCH($B230,xx_matrix[command],0)),"")</f>
        <v/>
      </c>
      <c r="L230" t="str">
        <f>IFERROR(INDEX(xx_matrix[TgtModel],MATCH($B230,xx_matrix[command],0)),"")</f>
        <v/>
      </c>
      <c r="M230" t="str">
        <f>IFERROR(INDEX(xx_matrix[TgtObject],MATCH($B230,xx_matrix[command],0)),"")</f>
        <v/>
      </c>
      <c r="N230" t="str">
        <f>IFERROR(INDEX(xx_matrix[Instructions],MATCH($B230,xx_matrix[command],0)),"")</f>
        <v/>
      </c>
    </row>
    <row r="231" spans="1:14">
      <c r="A231" s="19"/>
      <c r="D231" s="36" t="str">
        <f>IF(ISBLANK(B231),"",IF(ISERROR(MATCH(B231,xx_matrix[command],0)),FALSE,IF(ISTEXT(INDEX(xx_matrix[videoLink],MATCH(B231,xx_matrix[command],0),1)),HYPERLINK(INDEX(xx_matrix[videoLink],MATCH(B231,xx_matrix[command],0),1),"_YES_"),"YES")))</f>
        <v/>
      </c>
      <c r="J231" t="str">
        <f>IFERROR(INDEX(xx_matrix[SrcModel],MATCH($B231,xx_matrix[command],0)),"")</f>
        <v/>
      </c>
      <c r="K231" t="str">
        <f>IFERROR(INDEX(xx_matrix[SrcObject],MATCH($B231,xx_matrix[command],0)),"")</f>
        <v/>
      </c>
      <c r="L231" t="str">
        <f>IFERROR(INDEX(xx_matrix[TgtModel],MATCH($B231,xx_matrix[command],0)),"")</f>
        <v/>
      </c>
      <c r="M231" t="str">
        <f>IFERROR(INDEX(xx_matrix[TgtObject],MATCH($B231,xx_matrix[command],0)),"")</f>
        <v/>
      </c>
      <c r="N231" t="str">
        <f>IFERROR(INDEX(xx_matrix[Instructions],MATCH($B231,xx_matrix[command],0)),"")</f>
        <v/>
      </c>
    </row>
    <row r="232" spans="1:14">
      <c r="A232" s="19"/>
      <c r="D232" s="36" t="str">
        <f>IF(ISBLANK(B232),"",IF(ISERROR(MATCH(B232,xx_matrix[command],0)),FALSE,IF(ISTEXT(INDEX(xx_matrix[videoLink],MATCH(B232,xx_matrix[command],0),1)),HYPERLINK(INDEX(xx_matrix[videoLink],MATCH(B232,xx_matrix[command],0),1),"_YES_"),"YES")))</f>
        <v/>
      </c>
      <c r="J232" t="str">
        <f>IFERROR(INDEX(xx_matrix[SrcModel],MATCH($B232,xx_matrix[command],0)),"")</f>
        <v/>
      </c>
      <c r="K232" t="str">
        <f>IFERROR(INDEX(xx_matrix[SrcObject],MATCH($B232,xx_matrix[command],0)),"")</f>
        <v/>
      </c>
      <c r="L232" t="str">
        <f>IFERROR(INDEX(xx_matrix[TgtModel],MATCH($B232,xx_matrix[command],0)),"")</f>
        <v/>
      </c>
      <c r="M232" t="str">
        <f>IFERROR(INDEX(xx_matrix[TgtObject],MATCH($B232,xx_matrix[command],0)),"")</f>
        <v/>
      </c>
      <c r="N232" t="str">
        <f>IFERROR(INDEX(xx_matrix[Instructions],MATCH($B232,xx_matrix[command],0)),"")</f>
        <v/>
      </c>
    </row>
    <row r="233" spans="1:14">
      <c r="A233" s="19"/>
      <c r="D233" s="36" t="str">
        <f>IF(ISBLANK(B233),"",IF(ISERROR(MATCH(B233,xx_matrix[command],0)),FALSE,IF(ISTEXT(INDEX(xx_matrix[videoLink],MATCH(B233,xx_matrix[command],0),1)),HYPERLINK(INDEX(xx_matrix[videoLink],MATCH(B233,xx_matrix[command],0),1),"_YES_"),"YES")))</f>
        <v/>
      </c>
      <c r="J233" t="str">
        <f>IFERROR(INDEX(xx_matrix[SrcModel],MATCH($B233,xx_matrix[command],0)),"")</f>
        <v/>
      </c>
      <c r="K233" t="str">
        <f>IFERROR(INDEX(xx_matrix[SrcObject],MATCH($B233,xx_matrix[command],0)),"")</f>
        <v/>
      </c>
      <c r="L233" t="str">
        <f>IFERROR(INDEX(xx_matrix[TgtModel],MATCH($B233,xx_matrix[command],0)),"")</f>
        <v/>
      </c>
      <c r="M233" t="str">
        <f>IFERROR(INDEX(xx_matrix[TgtObject],MATCH($B233,xx_matrix[command],0)),"")</f>
        <v/>
      </c>
      <c r="N233" t="str">
        <f>IFERROR(INDEX(xx_matrix[Instructions],MATCH($B233,xx_matrix[command],0)),"")</f>
        <v/>
      </c>
    </row>
    <row r="234" spans="1:14">
      <c r="A234" s="19"/>
      <c r="D234" s="36" t="str">
        <f>IF(ISBLANK(B234),"",IF(ISERROR(MATCH(B234,xx_matrix[command],0)),FALSE,IF(ISTEXT(INDEX(xx_matrix[videoLink],MATCH(B234,xx_matrix[command],0),1)),HYPERLINK(INDEX(xx_matrix[videoLink],MATCH(B234,xx_matrix[command],0),1),"_YES_"),"YES")))</f>
        <v/>
      </c>
      <c r="J234" t="str">
        <f>IFERROR(INDEX(xx_matrix[SrcModel],MATCH($B234,xx_matrix[command],0)),"")</f>
        <v/>
      </c>
      <c r="K234" t="str">
        <f>IFERROR(INDEX(xx_matrix[SrcObject],MATCH($B234,xx_matrix[command],0)),"")</f>
        <v/>
      </c>
      <c r="L234" t="str">
        <f>IFERROR(INDEX(xx_matrix[TgtModel],MATCH($B234,xx_matrix[command],0)),"")</f>
        <v/>
      </c>
      <c r="M234" t="str">
        <f>IFERROR(INDEX(xx_matrix[TgtObject],MATCH($B234,xx_matrix[command],0)),"")</f>
        <v/>
      </c>
      <c r="N234" t="str">
        <f>IFERROR(INDEX(xx_matrix[Instructions],MATCH($B234,xx_matrix[command],0)),"")</f>
        <v/>
      </c>
    </row>
    <row r="235" spans="1:14">
      <c r="A235" s="19"/>
      <c r="D235" s="36" t="str">
        <f>IF(ISBLANK(B235),"",IF(ISERROR(MATCH(B235,xx_matrix[command],0)),FALSE,IF(ISTEXT(INDEX(xx_matrix[videoLink],MATCH(B235,xx_matrix[command],0),1)),HYPERLINK(INDEX(xx_matrix[videoLink],MATCH(B235,xx_matrix[command],0),1),"_YES_"),"YES")))</f>
        <v/>
      </c>
      <c r="J235" t="str">
        <f>IFERROR(INDEX(xx_matrix[SrcModel],MATCH($B235,xx_matrix[command],0)),"")</f>
        <v/>
      </c>
      <c r="K235" t="str">
        <f>IFERROR(INDEX(xx_matrix[SrcObject],MATCH($B235,xx_matrix[command],0)),"")</f>
        <v/>
      </c>
      <c r="L235" t="str">
        <f>IFERROR(INDEX(xx_matrix[TgtModel],MATCH($B235,xx_matrix[command],0)),"")</f>
        <v/>
      </c>
      <c r="M235" t="str">
        <f>IFERROR(INDEX(xx_matrix[TgtObject],MATCH($B235,xx_matrix[command],0)),"")</f>
        <v/>
      </c>
      <c r="N235" t="str">
        <f>IFERROR(INDEX(xx_matrix[Instructions],MATCH($B235,xx_matrix[command],0)),"")</f>
        <v/>
      </c>
    </row>
    <row r="236" spans="1:14">
      <c r="A236" s="19"/>
      <c r="D236" s="36" t="str">
        <f>IF(ISBLANK(B236),"",IF(ISERROR(MATCH(B236,xx_matrix[command],0)),FALSE,IF(ISTEXT(INDEX(xx_matrix[videoLink],MATCH(B236,xx_matrix[command],0),1)),HYPERLINK(INDEX(xx_matrix[videoLink],MATCH(B236,xx_matrix[command],0),1),"_YES_"),"YES")))</f>
        <v/>
      </c>
      <c r="J236" t="str">
        <f>IFERROR(INDEX(xx_matrix[SrcModel],MATCH($B236,xx_matrix[command],0)),"")</f>
        <v/>
      </c>
      <c r="K236" t="str">
        <f>IFERROR(INDEX(xx_matrix[SrcObject],MATCH($B236,xx_matrix[command],0)),"")</f>
        <v/>
      </c>
      <c r="L236" t="str">
        <f>IFERROR(INDEX(xx_matrix[TgtModel],MATCH($B236,xx_matrix[command],0)),"")</f>
        <v/>
      </c>
      <c r="M236" t="str">
        <f>IFERROR(INDEX(xx_matrix[TgtObject],MATCH($B236,xx_matrix[command],0)),"")</f>
        <v/>
      </c>
      <c r="N236" t="str">
        <f>IFERROR(INDEX(xx_matrix[Instructions],MATCH($B236,xx_matrix[command],0)),"")</f>
        <v/>
      </c>
    </row>
    <row r="237" spans="1:14">
      <c r="A237" s="19"/>
      <c r="D237" s="36" t="str">
        <f>IF(ISBLANK(B237),"",IF(ISERROR(MATCH(B237,xx_matrix[command],0)),FALSE,IF(ISTEXT(INDEX(xx_matrix[videoLink],MATCH(B237,xx_matrix[command],0),1)),HYPERLINK(INDEX(xx_matrix[videoLink],MATCH(B237,xx_matrix[command],0),1),"_YES_"),"YES")))</f>
        <v/>
      </c>
      <c r="J237" t="str">
        <f>IFERROR(INDEX(xx_matrix[SrcModel],MATCH($B237,xx_matrix[command],0)),"")</f>
        <v/>
      </c>
      <c r="K237" t="str">
        <f>IFERROR(INDEX(xx_matrix[SrcObject],MATCH($B237,xx_matrix[command],0)),"")</f>
        <v/>
      </c>
      <c r="L237" t="str">
        <f>IFERROR(INDEX(xx_matrix[TgtModel],MATCH($B237,xx_matrix[command],0)),"")</f>
        <v/>
      </c>
      <c r="M237" t="str">
        <f>IFERROR(INDEX(xx_matrix[TgtObject],MATCH($B237,xx_matrix[command],0)),"")</f>
        <v/>
      </c>
      <c r="N237" t="str">
        <f>IFERROR(INDEX(xx_matrix[Instructions],MATCH($B237,xx_matrix[command],0)),"")</f>
        <v/>
      </c>
    </row>
    <row r="238" spans="1:14">
      <c r="A238" s="19"/>
      <c r="D238" s="36" t="str">
        <f>IF(ISBLANK(B238),"",IF(ISERROR(MATCH(B238,xx_matrix[command],0)),FALSE,IF(ISTEXT(INDEX(xx_matrix[videoLink],MATCH(B238,xx_matrix[command],0),1)),HYPERLINK(INDEX(xx_matrix[videoLink],MATCH(B238,xx_matrix[command],0),1),"_YES_"),"YES")))</f>
        <v/>
      </c>
      <c r="J238" t="str">
        <f>IFERROR(INDEX(xx_matrix[SrcModel],MATCH($B238,xx_matrix[command],0)),"")</f>
        <v/>
      </c>
      <c r="K238" t="str">
        <f>IFERROR(INDEX(xx_matrix[SrcObject],MATCH($B238,xx_matrix[command],0)),"")</f>
        <v/>
      </c>
      <c r="L238" t="str">
        <f>IFERROR(INDEX(xx_matrix[TgtModel],MATCH($B238,xx_matrix[command],0)),"")</f>
        <v/>
      </c>
      <c r="M238" t="str">
        <f>IFERROR(INDEX(xx_matrix[TgtObject],MATCH($B238,xx_matrix[command],0)),"")</f>
        <v/>
      </c>
      <c r="N238" t="str">
        <f>IFERROR(INDEX(xx_matrix[Instructions],MATCH($B238,xx_matrix[command],0)),"")</f>
        <v/>
      </c>
    </row>
    <row r="239" spans="1:14">
      <c r="A239" s="19"/>
      <c r="D239" s="36" t="str">
        <f>IF(ISBLANK(B239),"",IF(ISERROR(MATCH(B239,xx_matrix[command],0)),FALSE,IF(ISTEXT(INDEX(xx_matrix[videoLink],MATCH(B239,xx_matrix[command],0),1)),HYPERLINK(INDEX(xx_matrix[videoLink],MATCH(B239,xx_matrix[command],0),1),"_YES_"),"YES")))</f>
        <v/>
      </c>
      <c r="J239" t="str">
        <f>IFERROR(INDEX(xx_matrix[SrcModel],MATCH($B239,xx_matrix[command],0)),"")</f>
        <v/>
      </c>
      <c r="K239" t="str">
        <f>IFERROR(INDEX(xx_matrix[SrcObject],MATCH($B239,xx_matrix[command],0)),"")</f>
        <v/>
      </c>
      <c r="L239" t="str">
        <f>IFERROR(INDEX(xx_matrix[TgtModel],MATCH($B239,xx_matrix[command],0)),"")</f>
        <v/>
      </c>
      <c r="M239" t="str">
        <f>IFERROR(INDEX(xx_matrix[TgtObject],MATCH($B239,xx_matrix[command],0)),"")</f>
        <v/>
      </c>
      <c r="N239" t="str">
        <f>IFERROR(INDEX(xx_matrix[Instructions],MATCH($B239,xx_matrix[command],0)),"")</f>
        <v/>
      </c>
    </row>
    <row r="240" spans="1:14">
      <c r="A240" s="19"/>
      <c r="D240" s="36" t="str">
        <f>IF(ISBLANK(B240),"",IF(ISERROR(MATCH(B240,xx_matrix[command],0)),FALSE,IF(ISTEXT(INDEX(xx_matrix[videoLink],MATCH(B240,xx_matrix[command],0),1)),HYPERLINK(INDEX(xx_matrix[videoLink],MATCH(B240,xx_matrix[command],0),1),"_YES_"),"YES")))</f>
        <v/>
      </c>
      <c r="J240" t="str">
        <f>IFERROR(INDEX(xx_matrix[SrcModel],MATCH($B240,xx_matrix[command],0)),"")</f>
        <v/>
      </c>
      <c r="K240" t="str">
        <f>IFERROR(INDEX(xx_matrix[SrcObject],MATCH($B240,xx_matrix[command],0)),"")</f>
        <v/>
      </c>
      <c r="L240" t="str">
        <f>IFERROR(INDEX(xx_matrix[TgtModel],MATCH($B240,xx_matrix[command],0)),"")</f>
        <v/>
      </c>
      <c r="M240" t="str">
        <f>IFERROR(INDEX(xx_matrix[TgtObject],MATCH($B240,xx_matrix[command],0)),"")</f>
        <v/>
      </c>
      <c r="N240" t="str">
        <f>IFERROR(INDEX(xx_matrix[Instructions],MATCH($B240,xx_matrix[command],0)),"")</f>
        <v/>
      </c>
    </row>
    <row r="241" spans="1:14">
      <c r="A241" s="19"/>
      <c r="D241" s="36" t="str">
        <f>IF(ISBLANK(B241),"",IF(ISERROR(MATCH(B241,xx_matrix[command],0)),FALSE,IF(ISTEXT(INDEX(xx_matrix[videoLink],MATCH(B241,xx_matrix[command],0),1)),HYPERLINK(INDEX(xx_matrix[videoLink],MATCH(B241,xx_matrix[command],0),1),"_YES_"),"YES")))</f>
        <v/>
      </c>
      <c r="J241" t="str">
        <f>IFERROR(INDEX(xx_matrix[SrcModel],MATCH($B241,xx_matrix[command],0)),"")</f>
        <v/>
      </c>
      <c r="K241" t="str">
        <f>IFERROR(INDEX(xx_matrix[SrcObject],MATCH($B241,xx_matrix[command],0)),"")</f>
        <v/>
      </c>
      <c r="L241" t="str">
        <f>IFERROR(INDEX(xx_matrix[TgtModel],MATCH($B241,xx_matrix[command],0)),"")</f>
        <v/>
      </c>
      <c r="M241" t="str">
        <f>IFERROR(INDEX(xx_matrix[TgtObject],MATCH($B241,xx_matrix[command],0)),"")</f>
        <v/>
      </c>
      <c r="N241" t="str">
        <f>IFERROR(INDEX(xx_matrix[Instructions],MATCH($B241,xx_matrix[command],0)),"")</f>
        <v/>
      </c>
    </row>
    <row r="242" spans="1:14">
      <c r="A242" s="19"/>
      <c r="D242" s="36" t="str">
        <f>IF(ISBLANK(B242),"",IF(ISERROR(MATCH(B242,xx_matrix[command],0)),FALSE,IF(ISTEXT(INDEX(xx_matrix[videoLink],MATCH(B242,xx_matrix[command],0),1)),HYPERLINK(INDEX(xx_matrix[videoLink],MATCH(B242,xx_matrix[command],0),1),"_YES_"),"YES")))</f>
        <v/>
      </c>
      <c r="J242" t="str">
        <f>IFERROR(INDEX(xx_matrix[SrcModel],MATCH($B242,xx_matrix[command],0)),"")</f>
        <v/>
      </c>
      <c r="K242" t="str">
        <f>IFERROR(INDEX(xx_matrix[SrcObject],MATCH($B242,xx_matrix[command],0)),"")</f>
        <v/>
      </c>
      <c r="L242" t="str">
        <f>IFERROR(INDEX(xx_matrix[TgtModel],MATCH($B242,xx_matrix[command],0)),"")</f>
        <v/>
      </c>
      <c r="M242" t="str">
        <f>IFERROR(INDEX(xx_matrix[TgtObject],MATCH($B242,xx_matrix[command],0)),"")</f>
        <v/>
      </c>
      <c r="N242" t="str">
        <f>IFERROR(INDEX(xx_matrix[Instructions],MATCH($B242,xx_matrix[command],0)),"")</f>
        <v/>
      </c>
    </row>
    <row r="243" spans="1:14">
      <c r="A243" s="19"/>
      <c r="D243" s="36" t="str">
        <f>IF(ISBLANK(B243),"",IF(ISERROR(MATCH(B243,xx_matrix[command],0)),FALSE,IF(ISTEXT(INDEX(xx_matrix[videoLink],MATCH(B243,xx_matrix[command],0),1)),HYPERLINK(INDEX(xx_matrix[videoLink],MATCH(B243,xx_matrix[command],0),1),"_YES_"),"YES")))</f>
        <v/>
      </c>
      <c r="J243" t="str">
        <f>IFERROR(INDEX(xx_matrix[SrcModel],MATCH($B243,xx_matrix[command],0)),"")</f>
        <v/>
      </c>
      <c r="K243" t="str">
        <f>IFERROR(INDEX(xx_matrix[SrcObject],MATCH($B243,xx_matrix[command],0)),"")</f>
        <v/>
      </c>
      <c r="L243" t="str">
        <f>IFERROR(INDEX(xx_matrix[TgtModel],MATCH($B243,xx_matrix[command],0)),"")</f>
        <v/>
      </c>
      <c r="M243" t="str">
        <f>IFERROR(INDEX(xx_matrix[TgtObject],MATCH($B243,xx_matrix[command],0)),"")</f>
        <v/>
      </c>
      <c r="N243" t="str">
        <f>IFERROR(INDEX(xx_matrix[Instructions],MATCH($B243,xx_matrix[command],0)),"")</f>
        <v/>
      </c>
    </row>
    <row r="244" spans="1:14">
      <c r="A244" s="19"/>
      <c r="D244" s="36" t="str">
        <f>IF(ISBLANK(B244),"",IF(ISERROR(MATCH(B244,xx_matrix[command],0)),FALSE,IF(ISTEXT(INDEX(xx_matrix[videoLink],MATCH(B244,xx_matrix[command],0),1)),HYPERLINK(INDEX(xx_matrix[videoLink],MATCH(B244,xx_matrix[command],0),1),"_YES_"),"YES")))</f>
        <v/>
      </c>
      <c r="J244" t="str">
        <f>IFERROR(INDEX(xx_matrix[SrcModel],MATCH($B244,xx_matrix[command],0)),"")</f>
        <v/>
      </c>
      <c r="K244" t="str">
        <f>IFERROR(INDEX(xx_matrix[SrcObject],MATCH($B244,xx_matrix[command],0)),"")</f>
        <v/>
      </c>
      <c r="L244" t="str">
        <f>IFERROR(INDEX(xx_matrix[TgtModel],MATCH($B244,xx_matrix[command],0)),"")</f>
        <v/>
      </c>
      <c r="M244" t="str">
        <f>IFERROR(INDEX(xx_matrix[TgtObject],MATCH($B244,xx_matrix[command],0)),"")</f>
        <v/>
      </c>
      <c r="N244" t="str">
        <f>IFERROR(INDEX(xx_matrix[Instructions],MATCH($B244,xx_matrix[command],0)),"")</f>
        <v/>
      </c>
    </row>
    <row r="245" spans="1:14">
      <c r="A245" s="19"/>
      <c r="D245" s="36" t="str">
        <f>IF(ISBLANK(B245),"",IF(ISERROR(MATCH(B245,xx_matrix[command],0)),FALSE,IF(ISTEXT(INDEX(xx_matrix[videoLink],MATCH(B245,xx_matrix[command],0),1)),HYPERLINK(INDEX(xx_matrix[videoLink],MATCH(B245,xx_matrix[command],0),1),"_YES_"),"YES")))</f>
        <v/>
      </c>
      <c r="J245" t="str">
        <f>IFERROR(INDEX(xx_matrix[SrcModel],MATCH($B245,xx_matrix[command],0)),"")</f>
        <v/>
      </c>
      <c r="K245" t="str">
        <f>IFERROR(INDEX(xx_matrix[SrcObject],MATCH($B245,xx_matrix[command],0)),"")</f>
        <v/>
      </c>
      <c r="L245" t="str">
        <f>IFERROR(INDEX(xx_matrix[TgtModel],MATCH($B245,xx_matrix[command],0)),"")</f>
        <v/>
      </c>
      <c r="M245" t="str">
        <f>IFERROR(INDEX(xx_matrix[TgtObject],MATCH($B245,xx_matrix[command],0)),"")</f>
        <v/>
      </c>
      <c r="N245" t="str">
        <f>IFERROR(INDEX(xx_matrix[Instructions],MATCH($B245,xx_matrix[command],0)),"")</f>
        <v/>
      </c>
    </row>
    <row r="246" spans="1:14">
      <c r="A246" s="19"/>
      <c r="D246" s="36" t="str">
        <f>IF(ISBLANK(B246),"",IF(ISERROR(MATCH(B246,xx_matrix[command],0)),FALSE,IF(ISTEXT(INDEX(xx_matrix[videoLink],MATCH(B246,xx_matrix[command],0),1)),HYPERLINK(INDEX(xx_matrix[videoLink],MATCH(B246,xx_matrix[command],0),1),"_YES_"),"YES")))</f>
        <v/>
      </c>
      <c r="J246" t="str">
        <f>IFERROR(INDEX(xx_matrix[SrcModel],MATCH($B246,xx_matrix[command],0)),"")</f>
        <v/>
      </c>
      <c r="K246" t="str">
        <f>IFERROR(INDEX(xx_matrix[SrcObject],MATCH($B246,xx_matrix[command],0)),"")</f>
        <v/>
      </c>
      <c r="L246" t="str">
        <f>IFERROR(INDEX(xx_matrix[TgtModel],MATCH($B246,xx_matrix[command],0)),"")</f>
        <v/>
      </c>
      <c r="M246" t="str">
        <f>IFERROR(INDEX(xx_matrix[TgtObject],MATCH($B246,xx_matrix[command],0)),"")</f>
        <v/>
      </c>
      <c r="N246" t="str">
        <f>IFERROR(INDEX(xx_matrix[Instructions],MATCH($B246,xx_matrix[command],0)),"")</f>
        <v/>
      </c>
    </row>
    <row r="247" spans="1:14">
      <c r="A247" s="19"/>
      <c r="D247" s="36" t="str">
        <f>IF(ISBLANK(B247),"",IF(ISERROR(MATCH(B247,xx_matrix[command],0)),FALSE,IF(ISTEXT(INDEX(xx_matrix[videoLink],MATCH(B247,xx_matrix[command],0),1)),HYPERLINK(INDEX(xx_matrix[videoLink],MATCH(B247,xx_matrix[command],0),1),"_YES_"),"YES")))</f>
        <v/>
      </c>
      <c r="J247" t="str">
        <f>IFERROR(INDEX(xx_matrix[SrcModel],MATCH($B247,xx_matrix[command],0)),"")</f>
        <v/>
      </c>
      <c r="K247" t="str">
        <f>IFERROR(INDEX(xx_matrix[SrcObject],MATCH($B247,xx_matrix[command],0)),"")</f>
        <v/>
      </c>
      <c r="L247" t="str">
        <f>IFERROR(INDEX(xx_matrix[TgtModel],MATCH($B247,xx_matrix[command],0)),"")</f>
        <v/>
      </c>
      <c r="M247" t="str">
        <f>IFERROR(INDEX(xx_matrix[TgtObject],MATCH($B247,xx_matrix[command],0)),"")</f>
        <v/>
      </c>
      <c r="N247" t="str">
        <f>IFERROR(INDEX(xx_matrix[Instructions],MATCH($B247,xx_matrix[command],0)),"")</f>
        <v/>
      </c>
    </row>
    <row r="248" spans="1:14">
      <c r="A248" s="19"/>
      <c r="D248" s="36" t="str">
        <f>IF(ISBLANK(B248),"",IF(ISERROR(MATCH(B248,xx_matrix[command],0)),FALSE,IF(ISTEXT(INDEX(xx_matrix[videoLink],MATCH(B248,xx_matrix[command],0),1)),HYPERLINK(INDEX(xx_matrix[videoLink],MATCH(B248,xx_matrix[command],0),1),"_YES_"),"YES")))</f>
        <v/>
      </c>
      <c r="J248" t="str">
        <f>IFERROR(INDEX(xx_matrix[SrcModel],MATCH($B248,xx_matrix[command],0)),"")</f>
        <v/>
      </c>
      <c r="K248" t="str">
        <f>IFERROR(INDEX(xx_matrix[SrcObject],MATCH($B248,xx_matrix[command],0)),"")</f>
        <v/>
      </c>
      <c r="L248" t="str">
        <f>IFERROR(INDEX(xx_matrix[TgtModel],MATCH($B248,xx_matrix[command],0)),"")</f>
        <v/>
      </c>
      <c r="M248" t="str">
        <f>IFERROR(INDEX(xx_matrix[TgtObject],MATCH($B248,xx_matrix[command],0)),"")</f>
        <v/>
      </c>
      <c r="N248" t="str">
        <f>IFERROR(INDEX(xx_matrix[Instructions],MATCH($B248,xx_matrix[command],0)),"")</f>
        <v/>
      </c>
    </row>
    <row r="249" spans="1:14">
      <c r="A249" s="19"/>
      <c r="D249" s="36" t="str">
        <f>IF(ISBLANK(B249),"",IF(ISERROR(MATCH(B249,xx_matrix[command],0)),FALSE,IF(ISTEXT(INDEX(xx_matrix[videoLink],MATCH(B249,xx_matrix[command],0),1)),HYPERLINK(INDEX(xx_matrix[videoLink],MATCH(B249,xx_matrix[command],0),1),"_YES_"),"YES")))</f>
        <v/>
      </c>
      <c r="J249" t="str">
        <f>IFERROR(INDEX(xx_matrix[SrcModel],MATCH($B249,xx_matrix[command],0)),"")</f>
        <v/>
      </c>
      <c r="K249" t="str">
        <f>IFERROR(INDEX(xx_matrix[SrcObject],MATCH($B249,xx_matrix[command],0)),"")</f>
        <v/>
      </c>
      <c r="L249" t="str">
        <f>IFERROR(INDEX(xx_matrix[TgtModel],MATCH($B249,xx_matrix[command],0)),"")</f>
        <v/>
      </c>
      <c r="M249" t="str">
        <f>IFERROR(INDEX(xx_matrix[TgtObject],MATCH($B249,xx_matrix[command],0)),"")</f>
        <v/>
      </c>
      <c r="N249" t="str">
        <f>IFERROR(INDEX(xx_matrix[Instructions],MATCH($B249,xx_matrix[command],0)),"")</f>
        <v/>
      </c>
    </row>
    <row r="250" spans="1:14">
      <c r="A250" s="19"/>
      <c r="D250" s="36" t="str">
        <f>IF(ISBLANK(B250),"",IF(ISERROR(MATCH(B250,xx_matrix[command],0)),FALSE,IF(ISTEXT(INDEX(xx_matrix[videoLink],MATCH(B250,xx_matrix[command],0),1)),HYPERLINK(INDEX(xx_matrix[videoLink],MATCH(B250,xx_matrix[command],0),1),"_YES_"),"YES")))</f>
        <v/>
      </c>
      <c r="J250" t="str">
        <f>IFERROR(INDEX(xx_matrix[SrcModel],MATCH($B250,xx_matrix[command],0)),"")</f>
        <v/>
      </c>
      <c r="K250" t="str">
        <f>IFERROR(INDEX(xx_matrix[SrcObject],MATCH($B250,xx_matrix[command],0)),"")</f>
        <v/>
      </c>
      <c r="L250" t="str">
        <f>IFERROR(INDEX(xx_matrix[TgtModel],MATCH($B250,xx_matrix[command],0)),"")</f>
        <v/>
      </c>
      <c r="M250" t="str">
        <f>IFERROR(INDEX(xx_matrix[TgtObject],MATCH($B250,xx_matrix[command],0)),"")</f>
        <v/>
      </c>
      <c r="N250" t="str">
        <f>IFERROR(INDEX(xx_matrix[Instructions],MATCH($B250,xx_matrix[command],0)),"")</f>
        <v/>
      </c>
    </row>
    <row r="251" spans="1:14">
      <c r="A251" s="19"/>
      <c r="D251" s="36" t="str">
        <f>IF(ISBLANK(B251),"",IF(ISERROR(MATCH(B251,xx_matrix[command],0)),FALSE,IF(ISTEXT(INDEX(xx_matrix[videoLink],MATCH(B251,xx_matrix[command],0),1)),HYPERLINK(INDEX(xx_matrix[videoLink],MATCH(B251,xx_matrix[command],0),1),"_YES_"),"YES")))</f>
        <v/>
      </c>
      <c r="J251" t="str">
        <f>IFERROR(INDEX(xx_matrix[SrcModel],MATCH($B251,xx_matrix[command],0)),"")</f>
        <v/>
      </c>
      <c r="K251" t="str">
        <f>IFERROR(INDEX(xx_matrix[SrcObject],MATCH($B251,xx_matrix[command],0)),"")</f>
        <v/>
      </c>
      <c r="L251" t="str">
        <f>IFERROR(INDEX(xx_matrix[TgtModel],MATCH($B251,xx_matrix[command],0)),"")</f>
        <v/>
      </c>
      <c r="M251" t="str">
        <f>IFERROR(INDEX(xx_matrix[TgtObject],MATCH($B251,xx_matrix[command],0)),"")</f>
        <v/>
      </c>
      <c r="N251" t="str">
        <f>IFERROR(INDEX(xx_matrix[Instructions],MATCH($B251,xx_matrix[command],0)),"")</f>
        <v/>
      </c>
    </row>
    <row r="252" spans="1:14">
      <c r="A252" s="19"/>
      <c r="D252" s="36" t="str">
        <f>IF(ISBLANK(B252),"",IF(ISERROR(MATCH(B252,xx_matrix[command],0)),FALSE,IF(ISTEXT(INDEX(xx_matrix[videoLink],MATCH(B252,xx_matrix[command],0),1)),HYPERLINK(INDEX(xx_matrix[videoLink],MATCH(B252,xx_matrix[command],0),1),"_YES_"),"YES")))</f>
        <v/>
      </c>
      <c r="J252" t="str">
        <f>IFERROR(INDEX(xx_matrix[SrcModel],MATCH($B252,xx_matrix[command],0)),"")</f>
        <v/>
      </c>
      <c r="K252" t="str">
        <f>IFERROR(INDEX(xx_matrix[SrcObject],MATCH($B252,xx_matrix[command],0)),"")</f>
        <v/>
      </c>
      <c r="L252" t="str">
        <f>IFERROR(INDEX(xx_matrix[TgtModel],MATCH($B252,xx_matrix[command],0)),"")</f>
        <v/>
      </c>
      <c r="M252" t="str">
        <f>IFERROR(INDEX(xx_matrix[TgtObject],MATCH($B252,xx_matrix[command],0)),"")</f>
        <v/>
      </c>
      <c r="N252" t="str">
        <f>IFERROR(INDEX(xx_matrix[Instructions],MATCH($B252,xx_matrix[command],0)),"")</f>
        <v/>
      </c>
    </row>
    <row r="253" spans="1:14">
      <c r="A253" s="19"/>
      <c r="D253" s="36" t="str">
        <f>IF(ISBLANK(B253),"",IF(ISERROR(MATCH(B253,xx_matrix[command],0)),FALSE,IF(ISTEXT(INDEX(xx_matrix[videoLink],MATCH(B253,xx_matrix[command],0),1)),HYPERLINK(INDEX(xx_matrix[videoLink],MATCH(B253,xx_matrix[command],0),1),"_YES_"),"YES")))</f>
        <v/>
      </c>
      <c r="J253" t="str">
        <f>IFERROR(INDEX(xx_matrix[SrcModel],MATCH($B253,xx_matrix[command],0)),"")</f>
        <v/>
      </c>
      <c r="K253" t="str">
        <f>IFERROR(INDEX(xx_matrix[SrcObject],MATCH($B253,xx_matrix[command],0)),"")</f>
        <v/>
      </c>
      <c r="L253" t="str">
        <f>IFERROR(INDEX(xx_matrix[TgtModel],MATCH($B253,xx_matrix[command],0)),"")</f>
        <v/>
      </c>
      <c r="M253" t="str">
        <f>IFERROR(INDEX(xx_matrix[TgtObject],MATCH($B253,xx_matrix[command],0)),"")</f>
        <v/>
      </c>
      <c r="N253" t="str">
        <f>IFERROR(INDEX(xx_matrix[Instructions],MATCH($B253,xx_matrix[command],0)),"")</f>
        <v/>
      </c>
    </row>
    <row r="254" spans="1:14">
      <c r="A254" s="19"/>
      <c r="D254" s="36" t="str">
        <f>IF(ISBLANK(B254),"",IF(ISERROR(MATCH(B254,xx_matrix[command],0)),FALSE,IF(ISTEXT(INDEX(xx_matrix[videoLink],MATCH(B254,xx_matrix[command],0),1)),HYPERLINK(INDEX(xx_matrix[videoLink],MATCH(B254,xx_matrix[command],0),1),"_YES_"),"YES")))</f>
        <v/>
      </c>
      <c r="J254" t="str">
        <f>IFERROR(INDEX(xx_matrix[SrcModel],MATCH($B254,xx_matrix[command],0)),"")</f>
        <v/>
      </c>
      <c r="K254" t="str">
        <f>IFERROR(INDEX(xx_matrix[SrcObject],MATCH($B254,xx_matrix[command],0)),"")</f>
        <v/>
      </c>
      <c r="L254" t="str">
        <f>IFERROR(INDEX(xx_matrix[TgtModel],MATCH($B254,xx_matrix[command],0)),"")</f>
        <v/>
      </c>
      <c r="M254" t="str">
        <f>IFERROR(INDEX(xx_matrix[TgtObject],MATCH($B254,xx_matrix[command],0)),"")</f>
        <v/>
      </c>
      <c r="N254" t="str">
        <f>IFERROR(INDEX(xx_matrix[Instructions],MATCH($B254,xx_matrix[command],0)),"")</f>
        <v/>
      </c>
    </row>
  </sheetData>
  <mergeCells count="3">
    <mergeCell ref="E3:F3"/>
    <mergeCell ref="G3:H3"/>
    <mergeCell ref="J3:N3"/>
  </mergeCells>
  <conditionalFormatting sqref="A5:A1004">
    <cfRule type="containsText" dxfId="21" priority="28" stopIfTrue="1" operator="containsText" text="//">
      <formula>NOT(ISERROR(SEARCH("//",A5)))</formula>
    </cfRule>
  </conditionalFormatting>
  <conditionalFormatting sqref="D5:D254">
    <cfRule type="cellIs" dxfId="20" priority="13" stopIfTrue="1" operator="equal">
      <formula>"_YES_"</formula>
    </cfRule>
    <cfRule type="cellIs" dxfId="19" priority="15" stopIfTrue="1" operator="equal">
      <formula>FALSE</formula>
    </cfRule>
    <cfRule type="cellIs" dxfId="18" priority="16" stopIfTrue="1" operator="equal">
      <formula>"YES"</formula>
    </cfRule>
    <cfRule type="containsBlanks" dxfId="17" priority="17">
      <formula>LEN(TRIM(D5))=0</formula>
    </cfRule>
  </conditionalFormatting>
  <conditionalFormatting sqref="E5:H254">
    <cfRule type="expression" dxfId="16" priority="1" stopIfTrue="1">
      <formula>IF($D5="NO",TRUE,FALSE)</formula>
    </cfRule>
    <cfRule type="expression" dxfId="15" priority="2" stopIfTrue="1">
      <formula>IF(AND($D5&lt;&gt;"",$D5&lt;&gt;"NO",ISLOGICAL(E5)),TRUE,FALSE)</formula>
    </cfRule>
    <cfRule type="expression" dxfId="14" priority="3" stopIfTrue="1">
      <formula>IF(AND($D5&lt;&gt;"",$D5&lt;&gt;"NO",J5&lt;&gt;0,J5&lt;&gt;""), TRUE,FALSE)</formula>
    </cfRule>
  </conditionalFormatting>
  <conditionalFormatting sqref="J5:N254">
    <cfRule type="cellIs" dxfId="13" priority="4" operator="equal">
      <formula>0</formula>
    </cfRule>
  </conditionalFormatting>
  <dataValidations count="8">
    <dataValidation allowBlank="1" showInputMessage="1" showErrorMessage="1" promptTitle="Nitro-CELL Argument" prompt="Default: activeModel_x000a_Arg Options: _x000a_ - model.ext(*)_x000a_ - REG:regVar" sqref="E13" xr:uid="{ACA4EC7B-CE80-4E93-9839-EEEB5CC60C46}"/>
    <dataValidation allowBlank="1" showInputMessage="1" showErrorMessage="1" promptTitle="Nitro-CELL Argument" prompt="InstName(*)_x000a_ - REG:regVar" sqref="F10" xr:uid="{F9B9962B-762D-496B-AE40-E17A30139194}"/>
    <dataValidation allowBlank="1" showInputMessage="1" showErrorMessage="1" promptTitle="Nitro-CELL Argument" prompt="model.ext(*)_x000a_ - REG:regVar" sqref="E10" xr:uid="{D5218D1A-1781-45C2-A028-FC6252D07F44}"/>
    <dataValidation allowBlank="1" showInputMessage="1" showErrorMessage="1" promptTitle="Nitro-CELL Command" prompt="Open and Activate a Model from Hard Drive of InSession" sqref="B10" xr:uid="{A07F6DDC-6075-47B4-BD7E-B749410FA5D0}"/>
    <dataValidation allowBlank="1" showInputMessage="1" showErrorMessage="1" promptTitle="Nitro-CELL Command" prompt="Force Pro/E to Erase Memory (all models)" sqref="B7" xr:uid="{C0E279F3-C0D4-42E8-AA14-F984CC9B139B}"/>
    <dataValidation allowBlank="1" showInputMessage="1" showErrorMessage="1" promptTitle="Nitro-CELL Command" prompt="Delete a Model's Family Table" sqref="B13" xr:uid="{1D133E43-9E38-4E6D-9CBD-EA2C81148091}"/>
    <dataValidation allowBlank="1" showInputMessage="1" showErrorMessage="1" promptTitle="Nitro-CELL Command" sqref="B2" xr:uid="{7BDEB2FB-77BE-463F-96BD-D9E2B3CFAD4D}"/>
    <dataValidation allowBlank="1" showInputMessage="1" showErrorMessage="1" promptTitle="Nitro-CELL Command" sqref="B3" xr:uid="{AD8AAE58-078C-4027-BCC0-0117A492EA97}"/>
  </dataValidations>
  <hyperlinks>
    <hyperlink ref="A1" r:id="rId1" xr:uid="{3BE061B0-2AD4-4630-A9A6-5518DC8FC525}"/>
    <hyperlink ref="A2" location="NitroCELL_MAIN!A1" display="MAIN" xr:uid="{9DE2E46C-62A4-4BD6-9557-592F95367870}"/>
    <hyperlink ref="B4" r:id="rId2" xr:uid="{F1DC6D2D-6E75-4122-B69C-C934FE5C8CFA}"/>
  </hyperlinks>
  <pageMargins left="0.7" right="0.7" top="0.75" bottom="0.75" header="0.3" footer="0.3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AE97-E56E-4ADF-AA82-2A758A1E1599}">
  <dimension ref="A1:N250"/>
  <sheetViews>
    <sheetView workbookViewId="0">
      <pane ySplit="4" topLeftCell="A5" activePane="bottomLeft" state="frozen"/>
      <selection pane="bottomLeft" activeCell="B3" sqref="B3"/>
    </sheetView>
  </sheetViews>
  <sheetFormatPr defaultRowHeight="15"/>
  <cols>
    <col min="1" max="1" width="9.140625" style="15" customWidth="1"/>
    <col min="2" max="2" width="45" customWidth="1"/>
    <col min="3" max="3" width="1.140625" customWidth="1"/>
    <col min="4" max="4" width="19.42578125" style="36" customWidth="1"/>
    <col min="5" max="8" width="23.42578125" customWidth="1"/>
    <col min="9" max="9" width="3.28515625" style="18" customWidth="1"/>
    <col min="10" max="10" width="30" customWidth="1"/>
    <col min="11" max="11" width="25.5703125" customWidth="1"/>
    <col min="12" max="12" width="29" bestFit="1" customWidth="1"/>
    <col min="13" max="13" width="25.5703125" customWidth="1"/>
    <col min="14" max="14" width="66" customWidth="1"/>
  </cols>
  <sheetData>
    <row r="1" spans="1:14" s="3" customFormat="1" ht="30">
      <c r="A1" s="17" t="s">
        <v>232</v>
      </c>
      <c r="B1" s="2" t="s">
        <v>245</v>
      </c>
      <c r="D1" s="28"/>
      <c r="I1" s="18"/>
    </row>
    <row r="2" spans="1:14" s="6" customFormat="1">
      <c r="A2" s="16" t="s">
        <v>231</v>
      </c>
      <c r="B2" s="5" t="s">
        <v>1323</v>
      </c>
      <c r="I2" s="27"/>
    </row>
    <row r="3" spans="1:14" s="23" customFormat="1">
      <c r="A3" s="26"/>
      <c r="B3" s="25" t="s">
        <v>244</v>
      </c>
      <c r="C3" s="12"/>
      <c r="D3" s="24" t="s">
        <v>243</v>
      </c>
      <c r="E3" s="45" t="s">
        <v>242</v>
      </c>
      <c r="F3" s="45"/>
      <c r="G3" s="46" t="s">
        <v>241</v>
      </c>
      <c r="H3" s="47"/>
      <c r="I3" s="18"/>
      <c r="J3" s="48" t="s">
        <v>240</v>
      </c>
      <c r="K3" s="49"/>
      <c r="L3" s="49"/>
      <c r="M3" s="49"/>
      <c r="N3" s="50"/>
    </row>
    <row r="4" spans="1:14" s="21" customFormat="1">
      <c r="A4" s="22" t="s">
        <v>228</v>
      </c>
      <c r="B4" s="12" t="s">
        <v>584</v>
      </c>
      <c r="C4" s="12"/>
      <c r="D4" s="12" t="s">
        <v>239</v>
      </c>
      <c r="E4" s="12" t="s">
        <v>238</v>
      </c>
      <c r="F4" s="12" t="s">
        <v>237</v>
      </c>
      <c r="G4" s="12" t="s">
        <v>236</v>
      </c>
      <c r="H4" s="12" t="s">
        <v>235</v>
      </c>
      <c r="I4" s="18"/>
      <c r="J4" s="21" t="s">
        <v>58</v>
      </c>
      <c r="K4" s="21" t="s">
        <v>59</v>
      </c>
      <c r="L4" s="21" t="s">
        <v>60</v>
      </c>
      <c r="M4" s="21" t="s">
        <v>234</v>
      </c>
      <c r="N4" s="21" t="s">
        <v>233</v>
      </c>
    </row>
    <row r="5" spans="1:14">
      <c r="A5" s="19"/>
      <c r="D5"/>
      <c r="J5" t="s">
        <v>64</v>
      </c>
      <c r="K5" t="s">
        <v>64</v>
      </c>
      <c r="L5" t="s">
        <v>64</v>
      </c>
      <c r="M5" t="s">
        <v>64</v>
      </c>
      <c r="N5" t="s">
        <v>64</v>
      </c>
    </row>
    <row r="6" spans="1:14" ht="18.75">
      <c r="A6" s="35" t="s">
        <v>315</v>
      </c>
      <c r="D6"/>
      <c r="J6" t="s">
        <v>64</v>
      </c>
      <c r="K6" t="s">
        <v>64</v>
      </c>
      <c r="L6" t="s">
        <v>64</v>
      </c>
      <c r="M6" t="s">
        <v>64</v>
      </c>
      <c r="N6" t="s">
        <v>64</v>
      </c>
    </row>
    <row r="7" spans="1:14">
      <c r="A7" s="34" t="s">
        <v>314</v>
      </c>
      <c r="D7"/>
      <c r="J7" t="s">
        <v>64</v>
      </c>
      <c r="K7" t="s">
        <v>64</v>
      </c>
      <c r="L7" t="s">
        <v>64</v>
      </c>
      <c r="M7" t="s">
        <v>64</v>
      </c>
      <c r="N7" t="s">
        <v>64</v>
      </c>
    </row>
    <row r="8" spans="1:14">
      <c r="A8" s="34" t="s">
        <v>313</v>
      </c>
      <c r="D8"/>
      <c r="J8" t="s">
        <v>64</v>
      </c>
      <c r="K8" t="s">
        <v>64</v>
      </c>
      <c r="L8" t="s">
        <v>64</v>
      </c>
      <c r="M8" t="s">
        <v>64</v>
      </c>
      <c r="N8" t="s">
        <v>64</v>
      </c>
    </row>
    <row r="9" spans="1:14">
      <c r="A9" s="34" t="s">
        <v>312</v>
      </c>
      <c r="D9"/>
      <c r="J9" t="s">
        <v>64</v>
      </c>
      <c r="K9" t="s">
        <v>64</v>
      </c>
      <c r="L9" t="s">
        <v>64</v>
      </c>
      <c r="M9" t="s">
        <v>64</v>
      </c>
      <c r="N9" t="s">
        <v>64</v>
      </c>
    </row>
    <row r="10" spans="1:14">
      <c r="A10" s="34" t="s">
        <v>311</v>
      </c>
      <c r="D10"/>
      <c r="J10" t="s">
        <v>64</v>
      </c>
      <c r="K10" t="s">
        <v>64</v>
      </c>
      <c r="L10" t="s">
        <v>64</v>
      </c>
      <c r="M10" t="s">
        <v>64</v>
      </c>
      <c r="N10" t="s">
        <v>64</v>
      </c>
    </row>
    <row r="11" spans="1:14">
      <c r="A11" s="34" t="s">
        <v>310</v>
      </c>
      <c r="D11"/>
      <c r="J11" t="s">
        <v>64</v>
      </c>
      <c r="K11" t="s">
        <v>64</v>
      </c>
      <c r="L11" t="s">
        <v>64</v>
      </c>
      <c r="M11" t="s">
        <v>64</v>
      </c>
      <c r="N11" t="s">
        <v>64</v>
      </c>
    </row>
    <row r="12" spans="1:14">
      <c r="A12" s="34" t="s">
        <v>309</v>
      </c>
      <c r="D12"/>
      <c r="J12" t="s">
        <v>64</v>
      </c>
      <c r="K12" t="s">
        <v>64</v>
      </c>
      <c r="L12" t="s">
        <v>64</v>
      </c>
      <c r="M12" t="s">
        <v>64</v>
      </c>
      <c r="N12" t="s">
        <v>64</v>
      </c>
    </row>
    <row r="13" spans="1:14">
      <c r="A13" s="34" t="s">
        <v>308</v>
      </c>
      <c r="D13"/>
      <c r="J13" t="s">
        <v>64</v>
      </c>
      <c r="K13" t="s">
        <v>64</v>
      </c>
      <c r="L13" t="s">
        <v>64</v>
      </c>
      <c r="M13" t="s">
        <v>64</v>
      </c>
      <c r="N13" t="s">
        <v>64</v>
      </c>
    </row>
    <row r="14" spans="1:14">
      <c r="A14" s="34" t="s">
        <v>307</v>
      </c>
      <c r="D14"/>
      <c r="J14" t="s">
        <v>64</v>
      </c>
      <c r="K14" t="s">
        <v>64</v>
      </c>
      <c r="L14" t="s">
        <v>64</v>
      </c>
      <c r="M14" t="s">
        <v>64</v>
      </c>
      <c r="N14" t="s">
        <v>64</v>
      </c>
    </row>
    <row r="15" spans="1:14">
      <c r="A15" s="34" t="s">
        <v>306</v>
      </c>
      <c r="D15"/>
      <c r="J15" t="s">
        <v>64</v>
      </c>
      <c r="K15" t="s">
        <v>64</v>
      </c>
      <c r="L15" t="s">
        <v>64</v>
      </c>
      <c r="M15" t="s">
        <v>64</v>
      </c>
      <c r="N15" t="s">
        <v>64</v>
      </c>
    </row>
    <row r="16" spans="1:14">
      <c r="A16" s="34" t="s">
        <v>305</v>
      </c>
      <c r="D16"/>
      <c r="J16" t="s">
        <v>64</v>
      </c>
      <c r="K16" t="s">
        <v>64</v>
      </c>
      <c r="L16" t="s">
        <v>64</v>
      </c>
      <c r="M16" t="s">
        <v>64</v>
      </c>
      <c r="N16" t="s">
        <v>64</v>
      </c>
    </row>
    <row r="17" spans="1:14">
      <c r="A17" s="33" t="s">
        <v>304</v>
      </c>
      <c r="D17"/>
      <c r="J17" t="s">
        <v>64</v>
      </c>
      <c r="K17" t="s">
        <v>64</v>
      </c>
      <c r="L17" t="s">
        <v>64</v>
      </c>
      <c r="M17" t="s">
        <v>64</v>
      </c>
      <c r="N17" t="s">
        <v>64</v>
      </c>
    </row>
    <row r="18" spans="1:14">
      <c r="A18" s="34" t="s">
        <v>303</v>
      </c>
      <c r="D18"/>
      <c r="J18" t="s">
        <v>64</v>
      </c>
      <c r="K18" t="s">
        <v>64</v>
      </c>
      <c r="L18" t="s">
        <v>64</v>
      </c>
      <c r="M18" t="s">
        <v>64</v>
      </c>
      <c r="N18" t="s">
        <v>64</v>
      </c>
    </row>
    <row r="19" spans="1:14">
      <c r="A19" s="33"/>
      <c r="D19"/>
      <c r="J19" t="s">
        <v>64</v>
      </c>
      <c r="K19" t="s">
        <v>64</v>
      </c>
      <c r="L19" t="s">
        <v>64</v>
      </c>
      <c r="M19" t="s">
        <v>64</v>
      </c>
      <c r="N19" t="s">
        <v>64</v>
      </c>
    </row>
    <row r="20" spans="1:14" ht="18.75">
      <c r="A20" s="31" t="s">
        <v>302</v>
      </c>
      <c r="D20" s="36" t="s">
        <v>64</v>
      </c>
      <c r="J20" t="s">
        <v>64</v>
      </c>
      <c r="K20" t="s">
        <v>64</v>
      </c>
      <c r="L20" t="s">
        <v>64</v>
      </c>
      <c r="M20" t="s">
        <v>64</v>
      </c>
      <c r="N20" t="s">
        <v>64</v>
      </c>
    </row>
    <row r="21" spans="1:14">
      <c r="A21" s="30" t="s">
        <v>301</v>
      </c>
      <c r="D21" s="36" t="s">
        <v>64</v>
      </c>
      <c r="J21" t="s">
        <v>64</v>
      </c>
      <c r="K21" t="s">
        <v>64</v>
      </c>
      <c r="L21" t="s">
        <v>64</v>
      </c>
      <c r="M21" t="s">
        <v>64</v>
      </c>
      <c r="N21" t="s">
        <v>64</v>
      </c>
    </row>
    <row r="22" spans="1:14">
      <c r="A22" s="19" t="s">
        <v>300</v>
      </c>
      <c r="D22" s="36" t="s">
        <v>64</v>
      </c>
      <c r="J22" t="s">
        <v>64</v>
      </c>
      <c r="K22" t="s">
        <v>64</v>
      </c>
      <c r="L22" t="s">
        <v>64</v>
      </c>
      <c r="M22" t="s">
        <v>64</v>
      </c>
      <c r="N22" t="s">
        <v>64</v>
      </c>
    </row>
    <row r="23" spans="1:14">
      <c r="A23" s="19"/>
      <c r="B23" t="s">
        <v>507</v>
      </c>
      <c r="D23" s="36" t="s">
        <v>585</v>
      </c>
      <c r="J23" t="s">
        <v>64</v>
      </c>
      <c r="K23" t="s">
        <v>64</v>
      </c>
      <c r="L23" t="s">
        <v>64</v>
      </c>
      <c r="M23" t="s">
        <v>64</v>
      </c>
      <c r="N23" t="s">
        <v>197</v>
      </c>
    </row>
    <row r="24" spans="1:14">
      <c r="A24" s="29" t="s">
        <v>250</v>
      </c>
      <c r="D24" s="36" t="s">
        <v>64</v>
      </c>
      <c r="J24" t="s">
        <v>64</v>
      </c>
      <c r="K24" t="s">
        <v>64</v>
      </c>
      <c r="L24" t="s">
        <v>64</v>
      </c>
      <c r="M24" t="s">
        <v>64</v>
      </c>
      <c r="N24" t="s">
        <v>64</v>
      </c>
    </row>
    <row r="25" spans="1:14">
      <c r="A25" s="19"/>
      <c r="B25" t="s">
        <v>398</v>
      </c>
      <c r="D25" s="36" t="s">
        <v>585</v>
      </c>
      <c r="E25" t="s">
        <v>297</v>
      </c>
      <c r="J25" t="s">
        <v>97</v>
      </c>
      <c r="K25" t="s">
        <v>64</v>
      </c>
      <c r="L25" t="s">
        <v>64</v>
      </c>
      <c r="M25" t="s">
        <v>64</v>
      </c>
      <c r="N25" t="s">
        <v>134</v>
      </c>
    </row>
    <row r="26" spans="1:14">
      <c r="A26" s="19" t="s">
        <v>246</v>
      </c>
      <c r="D26" s="36" t="s">
        <v>64</v>
      </c>
      <c r="J26" t="s">
        <v>64</v>
      </c>
      <c r="K26" t="s">
        <v>64</v>
      </c>
      <c r="L26" t="s">
        <v>64</v>
      </c>
      <c r="M26" t="s">
        <v>64</v>
      </c>
      <c r="N26" t="s">
        <v>64</v>
      </c>
    </row>
    <row r="27" spans="1:14">
      <c r="A27" s="32"/>
      <c r="D27" s="36" t="s">
        <v>64</v>
      </c>
      <c r="J27" t="s">
        <v>64</v>
      </c>
      <c r="K27" t="s">
        <v>64</v>
      </c>
      <c r="L27" t="s">
        <v>64</v>
      </c>
      <c r="M27" t="s">
        <v>64</v>
      </c>
      <c r="N27" t="s">
        <v>64</v>
      </c>
    </row>
    <row r="28" spans="1:14">
      <c r="A28" s="19" t="s">
        <v>299</v>
      </c>
      <c r="D28" s="36" t="s">
        <v>64</v>
      </c>
      <c r="J28" t="s">
        <v>64</v>
      </c>
      <c r="K28" t="s">
        <v>64</v>
      </c>
      <c r="L28" t="s">
        <v>64</v>
      </c>
      <c r="M28" t="s">
        <v>64</v>
      </c>
      <c r="N28" t="s">
        <v>64</v>
      </c>
    </row>
    <row r="29" spans="1:14">
      <c r="A29" s="19"/>
      <c r="B29" t="s">
        <v>398</v>
      </c>
      <c r="D29" s="36" t="s">
        <v>585</v>
      </c>
      <c r="E29" t="s">
        <v>297</v>
      </c>
      <c r="J29" t="s">
        <v>97</v>
      </c>
      <c r="K29" t="s">
        <v>64</v>
      </c>
      <c r="L29" t="s">
        <v>64</v>
      </c>
      <c r="M29" t="s">
        <v>64</v>
      </c>
      <c r="N29" t="s">
        <v>134</v>
      </c>
    </row>
    <row r="30" spans="1:14">
      <c r="A30" s="19" t="s">
        <v>246</v>
      </c>
      <c r="D30" s="36" t="s">
        <v>64</v>
      </c>
      <c r="J30" t="s">
        <v>64</v>
      </c>
      <c r="K30" t="s">
        <v>64</v>
      </c>
      <c r="L30" t="s">
        <v>64</v>
      </c>
      <c r="M30" t="s">
        <v>64</v>
      </c>
      <c r="N30" t="s">
        <v>64</v>
      </c>
    </row>
    <row r="31" spans="1:14">
      <c r="A31" s="32"/>
      <c r="D31" s="36" t="s">
        <v>64</v>
      </c>
      <c r="J31" t="s">
        <v>64</v>
      </c>
      <c r="K31" t="s">
        <v>64</v>
      </c>
      <c r="L31" t="s">
        <v>64</v>
      </c>
      <c r="M31" t="s">
        <v>64</v>
      </c>
      <c r="N31" t="s">
        <v>64</v>
      </c>
    </row>
    <row r="32" spans="1:14">
      <c r="A32" s="19" t="s">
        <v>298</v>
      </c>
      <c r="D32" s="36" t="s">
        <v>64</v>
      </c>
      <c r="J32" t="s">
        <v>64</v>
      </c>
      <c r="K32" t="s">
        <v>64</v>
      </c>
      <c r="L32" t="s">
        <v>64</v>
      </c>
      <c r="M32" t="s">
        <v>64</v>
      </c>
      <c r="N32" t="s">
        <v>64</v>
      </c>
    </row>
    <row r="33" spans="1:14">
      <c r="A33" s="19"/>
      <c r="B33" t="s">
        <v>398</v>
      </c>
      <c r="D33" s="36" t="s">
        <v>585</v>
      </c>
      <c r="E33" t="s">
        <v>297</v>
      </c>
      <c r="J33" t="s">
        <v>97</v>
      </c>
      <c r="K33" t="s">
        <v>64</v>
      </c>
      <c r="L33" t="s">
        <v>64</v>
      </c>
      <c r="M33" t="s">
        <v>64</v>
      </c>
      <c r="N33" t="s">
        <v>134</v>
      </c>
    </row>
    <row r="34" spans="1:14">
      <c r="A34" s="19" t="s">
        <v>246</v>
      </c>
      <c r="D34" s="36" t="s">
        <v>64</v>
      </c>
      <c r="J34" t="s">
        <v>64</v>
      </c>
      <c r="K34" t="s">
        <v>64</v>
      </c>
      <c r="L34" t="s">
        <v>64</v>
      </c>
      <c r="M34" t="s">
        <v>64</v>
      </c>
      <c r="N34" t="s">
        <v>64</v>
      </c>
    </row>
    <row r="35" spans="1:14">
      <c r="A35"/>
      <c r="D35" s="36" t="s">
        <v>64</v>
      </c>
      <c r="J35" t="s">
        <v>64</v>
      </c>
      <c r="K35" t="s">
        <v>64</v>
      </c>
      <c r="L35" t="s">
        <v>64</v>
      </c>
      <c r="M35" t="s">
        <v>64</v>
      </c>
      <c r="N35" t="s">
        <v>64</v>
      </c>
    </row>
    <row r="36" spans="1:14" ht="18.75">
      <c r="A36" s="31" t="s">
        <v>296</v>
      </c>
      <c r="D36" s="36" t="s">
        <v>64</v>
      </c>
      <c r="J36" t="s">
        <v>64</v>
      </c>
      <c r="K36" t="s">
        <v>64</v>
      </c>
      <c r="L36" t="s">
        <v>64</v>
      </c>
      <c r="M36" t="s">
        <v>64</v>
      </c>
      <c r="N36" t="s">
        <v>64</v>
      </c>
    </row>
    <row r="37" spans="1:14">
      <c r="A37" s="30" t="s">
        <v>275</v>
      </c>
      <c r="D37" s="36" t="s">
        <v>64</v>
      </c>
      <c r="J37" t="s">
        <v>64</v>
      </c>
      <c r="K37" t="s">
        <v>64</v>
      </c>
      <c r="L37" t="s">
        <v>64</v>
      </c>
      <c r="M37" t="s">
        <v>64</v>
      </c>
      <c r="N37" t="s">
        <v>64</v>
      </c>
    </row>
    <row r="38" spans="1:14">
      <c r="A38" s="19"/>
      <c r="B38" t="s">
        <v>522</v>
      </c>
      <c r="D38" s="36" t="s">
        <v>585</v>
      </c>
      <c r="E38" t="s">
        <v>295</v>
      </c>
      <c r="F38" t="s">
        <v>290</v>
      </c>
      <c r="H38">
        <v>9.99</v>
      </c>
      <c r="J38" t="s">
        <v>189</v>
      </c>
      <c r="K38" t="s">
        <v>190</v>
      </c>
      <c r="L38" t="s">
        <v>191</v>
      </c>
      <c r="M38" t="s">
        <v>192</v>
      </c>
      <c r="N38" t="s">
        <v>188</v>
      </c>
    </row>
    <row r="39" spans="1:14">
      <c r="A39" s="30" t="s">
        <v>289</v>
      </c>
      <c r="D39" s="36" t="s">
        <v>64</v>
      </c>
      <c r="J39" t="s">
        <v>64</v>
      </c>
      <c r="K39" t="s">
        <v>64</v>
      </c>
      <c r="L39" t="s">
        <v>64</v>
      </c>
      <c r="M39" t="s">
        <v>64</v>
      </c>
      <c r="N39" t="s">
        <v>64</v>
      </c>
    </row>
    <row r="40" spans="1:14">
      <c r="A40" s="19" t="s">
        <v>294</v>
      </c>
      <c r="D40" s="36" t="s">
        <v>64</v>
      </c>
      <c r="J40" t="s">
        <v>64</v>
      </c>
      <c r="K40" t="s">
        <v>64</v>
      </c>
      <c r="L40" t="s">
        <v>64</v>
      </c>
      <c r="M40" t="s">
        <v>64</v>
      </c>
      <c r="N40" t="s">
        <v>64</v>
      </c>
    </row>
    <row r="41" spans="1:14">
      <c r="A41" s="19"/>
      <c r="B41" t="s">
        <v>398</v>
      </c>
      <c r="D41" s="36" t="s">
        <v>585</v>
      </c>
      <c r="E41" t="s">
        <v>269</v>
      </c>
      <c r="J41" t="s">
        <v>97</v>
      </c>
      <c r="K41" t="s">
        <v>64</v>
      </c>
      <c r="L41" t="s">
        <v>64</v>
      </c>
      <c r="M41" t="s">
        <v>64</v>
      </c>
      <c r="N41" t="s">
        <v>134</v>
      </c>
    </row>
    <row r="42" spans="1:14">
      <c r="A42" s="19" t="s">
        <v>250</v>
      </c>
      <c r="D42" s="36" t="s">
        <v>64</v>
      </c>
      <c r="J42" t="s">
        <v>64</v>
      </c>
      <c r="K42" t="s">
        <v>64</v>
      </c>
      <c r="L42" t="s">
        <v>64</v>
      </c>
      <c r="M42" t="s">
        <v>64</v>
      </c>
      <c r="N42" t="s">
        <v>64</v>
      </c>
    </row>
    <row r="43" spans="1:14">
      <c r="A43" s="19"/>
      <c r="B43" t="s">
        <v>398</v>
      </c>
      <c r="D43" s="36" t="s">
        <v>585</v>
      </c>
      <c r="E43" t="s">
        <v>268</v>
      </c>
      <c r="J43" t="s">
        <v>97</v>
      </c>
      <c r="K43" t="s">
        <v>64</v>
      </c>
      <c r="L43" t="s">
        <v>64</v>
      </c>
      <c r="M43" t="s">
        <v>64</v>
      </c>
      <c r="N43" t="s">
        <v>134</v>
      </c>
    </row>
    <row r="44" spans="1:14">
      <c r="A44" s="19" t="s">
        <v>246</v>
      </c>
      <c r="D44" s="36" t="s">
        <v>64</v>
      </c>
      <c r="J44" t="s">
        <v>64</v>
      </c>
      <c r="K44" t="s">
        <v>64</v>
      </c>
      <c r="L44" t="s">
        <v>64</v>
      </c>
      <c r="M44" t="s">
        <v>64</v>
      </c>
      <c r="N44" t="s">
        <v>64</v>
      </c>
    </row>
    <row r="45" spans="1:14">
      <c r="A45" s="19"/>
      <c r="D45" s="36" t="s">
        <v>64</v>
      </c>
      <c r="J45" t="s">
        <v>64</v>
      </c>
      <c r="K45" t="s">
        <v>64</v>
      </c>
      <c r="L45" t="s">
        <v>64</v>
      </c>
      <c r="M45" t="s">
        <v>64</v>
      </c>
      <c r="N45" t="s">
        <v>64</v>
      </c>
    </row>
    <row r="46" spans="1:14">
      <c r="A46" s="30" t="s">
        <v>293</v>
      </c>
      <c r="D46" s="36" t="s">
        <v>64</v>
      </c>
      <c r="J46" t="s">
        <v>64</v>
      </c>
      <c r="K46" t="s">
        <v>64</v>
      </c>
      <c r="L46" t="s">
        <v>64</v>
      </c>
      <c r="M46" t="s">
        <v>64</v>
      </c>
      <c r="N46" t="s">
        <v>64</v>
      </c>
    </row>
    <row r="47" spans="1:14">
      <c r="A47" s="19"/>
      <c r="B47" t="s">
        <v>522</v>
      </c>
      <c r="D47" s="36" t="s">
        <v>585</v>
      </c>
      <c r="E47" t="s">
        <v>292</v>
      </c>
      <c r="F47" t="s">
        <v>290</v>
      </c>
      <c r="H47">
        <v>50.08</v>
      </c>
      <c r="J47" t="s">
        <v>189</v>
      </c>
      <c r="K47" t="s">
        <v>190</v>
      </c>
      <c r="L47" t="s">
        <v>191</v>
      </c>
      <c r="M47" t="s">
        <v>192</v>
      </c>
      <c r="N47" t="s">
        <v>188</v>
      </c>
    </row>
    <row r="48" spans="1:14">
      <c r="A48" s="19"/>
      <c r="B48" t="s">
        <v>522</v>
      </c>
      <c r="D48" s="36" t="s">
        <v>585</v>
      </c>
      <c r="E48" t="s">
        <v>291</v>
      </c>
      <c r="F48" t="s">
        <v>290</v>
      </c>
      <c r="H48">
        <v>200.5</v>
      </c>
      <c r="J48" t="s">
        <v>189</v>
      </c>
      <c r="K48" t="s">
        <v>190</v>
      </c>
      <c r="L48" t="s">
        <v>191</v>
      </c>
      <c r="M48" t="s">
        <v>192</v>
      </c>
      <c r="N48" t="s">
        <v>188</v>
      </c>
    </row>
    <row r="49" spans="1:14">
      <c r="A49" s="30" t="s">
        <v>289</v>
      </c>
      <c r="D49" s="36" t="s">
        <v>64</v>
      </c>
      <c r="J49" t="s">
        <v>64</v>
      </c>
      <c r="K49" t="s">
        <v>64</v>
      </c>
      <c r="L49" t="s">
        <v>64</v>
      </c>
      <c r="M49" t="s">
        <v>64</v>
      </c>
      <c r="N49" t="s">
        <v>64</v>
      </c>
    </row>
    <row r="50" spans="1:14">
      <c r="A50" s="19" t="s">
        <v>288</v>
      </c>
      <c r="D50" s="36" t="s">
        <v>64</v>
      </c>
      <c r="J50" t="s">
        <v>64</v>
      </c>
      <c r="K50" t="s">
        <v>64</v>
      </c>
      <c r="L50" t="s">
        <v>64</v>
      </c>
      <c r="M50" t="s">
        <v>64</v>
      </c>
      <c r="N50" t="s">
        <v>64</v>
      </c>
    </row>
    <row r="51" spans="1:14">
      <c r="A51" s="19"/>
      <c r="B51" t="s">
        <v>398</v>
      </c>
      <c r="D51" s="36" t="s">
        <v>585</v>
      </c>
      <c r="E51" t="s">
        <v>287</v>
      </c>
      <c r="J51" t="s">
        <v>97</v>
      </c>
      <c r="K51" t="s">
        <v>64</v>
      </c>
      <c r="L51" t="s">
        <v>64</v>
      </c>
      <c r="M51" t="s">
        <v>64</v>
      </c>
      <c r="N51" t="s">
        <v>134</v>
      </c>
    </row>
    <row r="52" spans="1:14">
      <c r="A52" s="19" t="s">
        <v>250</v>
      </c>
      <c r="D52" s="36" t="s">
        <v>64</v>
      </c>
      <c r="E52" t="s">
        <v>64</v>
      </c>
      <c r="J52" t="s">
        <v>64</v>
      </c>
      <c r="K52" t="s">
        <v>64</v>
      </c>
      <c r="L52" t="s">
        <v>64</v>
      </c>
      <c r="M52" t="s">
        <v>64</v>
      </c>
      <c r="N52" t="s">
        <v>64</v>
      </c>
    </row>
    <row r="53" spans="1:14">
      <c r="A53" s="19"/>
      <c r="B53" t="s">
        <v>398</v>
      </c>
      <c r="D53" s="36" t="s">
        <v>585</v>
      </c>
      <c r="E53" t="s">
        <v>286</v>
      </c>
      <c r="J53" t="s">
        <v>97</v>
      </c>
      <c r="K53" t="s">
        <v>64</v>
      </c>
      <c r="L53" t="s">
        <v>64</v>
      </c>
      <c r="M53" t="s">
        <v>64</v>
      </c>
      <c r="N53" t="s">
        <v>134</v>
      </c>
    </row>
    <row r="54" spans="1:14">
      <c r="A54" s="19" t="s">
        <v>246</v>
      </c>
      <c r="D54" s="36" t="s">
        <v>64</v>
      </c>
      <c r="J54" t="s">
        <v>64</v>
      </c>
      <c r="K54" t="s">
        <v>64</v>
      </c>
      <c r="L54" t="s">
        <v>64</v>
      </c>
      <c r="M54" t="s">
        <v>64</v>
      </c>
      <c r="N54" t="s">
        <v>64</v>
      </c>
    </row>
    <row r="55" spans="1:14">
      <c r="A55"/>
      <c r="D55" s="36" t="s">
        <v>64</v>
      </c>
      <c r="J55" t="s">
        <v>64</v>
      </c>
      <c r="K55" t="s">
        <v>64</v>
      </c>
      <c r="L55" t="s">
        <v>64</v>
      </c>
      <c r="M55" t="s">
        <v>64</v>
      </c>
      <c r="N55" t="s">
        <v>64</v>
      </c>
    </row>
    <row r="56" spans="1:14" ht="18.75">
      <c r="A56" s="31" t="s">
        <v>285</v>
      </c>
      <c r="D56" s="36" t="s">
        <v>64</v>
      </c>
      <c r="J56" t="s">
        <v>64</v>
      </c>
      <c r="K56" t="s">
        <v>64</v>
      </c>
      <c r="L56" t="s">
        <v>64</v>
      </c>
      <c r="M56" t="s">
        <v>64</v>
      </c>
      <c r="N56" t="s">
        <v>64</v>
      </c>
    </row>
    <row r="57" spans="1:14">
      <c r="A57" s="30" t="s">
        <v>275</v>
      </c>
      <c r="D57" s="36" t="s">
        <v>64</v>
      </c>
      <c r="J57" t="s">
        <v>64</v>
      </c>
      <c r="K57" t="s">
        <v>64</v>
      </c>
      <c r="L57" t="s">
        <v>64</v>
      </c>
      <c r="M57" t="s">
        <v>64</v>
      </c>
      <c r="N57" t="s">
        <v>64</v>
      </c>
    </row>
    <row r="58" spans="1:14">
      <c r="A58" s="19"/>
      <c r="B58" t="s">
        <v>522</v>
      </c>
      <c r="D58" s="36" t="s">
        <v>585</v>
      </c>
      <c r="E58" t="s">
        <v>284</v>
      </c>
      <c r="F58" t="s">
        <v>282</v>
      </c>
      <c r="H58" t="b">
        <v>1</v>
      </c>
      <c r="J58" t="s">
        <v>189</v>
      </c>
      <c r="K58" t="s">
        <v>190</v>
      </c>
      <c r="L58" t="s">
        <v>191</v>
      </c>
      <c r="M58" t="s">
        <v>192</v>
      </c>
      <c r="N58" t="s">
        <v>188</v>
      </c>
    </row>
    <row r="59" spans="1:14">
      <c r="A59" s="19"/>
      <c r="B59" t="s">
        <v>522</v>
      </c>
      <c r="D59" s="36" t="s">
        <v>585</v>
      </c>
      <c r="E59" t="s">
        <v>283</v>
      </c>
      <c r="F59" t="s">
        <v>282</v>
      </c>
      <c r="H59" t="b">
        <v>1</v>
      </c>
      <c r="J59" t="s">
        <v>189</v>
      </c>
      <c r="K59" t="s">
        <v>190</v>
      </c>
      <c r="L59" t="s">
        <v>191</v>
      </c>
      <c r="M59" t="s">
        <v>192</v>
      </c>
      <c r="N59" t="s">
        <v>188</v>
      </c>
    </row>
    <row r="60" spans="1:14">
      <c r="A60" s="30" t="s">
        <v>281</v>
      </c>
      <c r="D60" s="36" t="s">
        <v>64</v>
      </c>
      <c r="J60" t="s">
        <v>64</v>
      </c>
      <c r="K60" t="s">
        <v>64</v>
      </c>
      <c r="L60" t="s">
        <v>64</v>
      </c>
      <c r="M60" t="s">
        <v>64</v>
      </c>
      <c r="N60" t="s">
        <v>64</v>
      </c>
    </row>
    <row r="61" spans="1:14">
      <c r="A61" s="19" t="s">
        <v>280</v>
      </c>
      <c r="D61" s="36" t="s">
        <v>64</v>
      </c>
      <c r="J61" t="s">
        <v>64</v>
      </c>
      <c r="K61" t="s">
        <v>64</v>
      </c>
      <c r="L61" t="s">
        <v>64</v>
      </c>
      <c r="M61" t="s">
        <v>64</v>
      </c>
      <c r="N61" t="s">
        <v>64</v>
      </c>
    </row>
    <row r="62" spans="1:14">
      <c r="A62" s="19"/>
      <c r="B62" t="s">
        <v>398</v>
      </c>
      <c r="D62" s="36" t="s">
        <v>585</v>
      </c>
      <c r="E62" t="s">
        <v>269</v>
      </c>
      <c r="J62" t="s">
        <v>97</v>
      </c>
      <c r="K62" t="s">
        <v>64</v>
      </c>
      <c r="L62" t="s">
        <v>64</v>
      </c>
      <c r="M62" t="s">
        <v>64</v>
      </c>
      <c r="N62" t="s">
        <v>134</v>
      </c>
    </row>
    <row r="63" spans="1:14">
      <c r="A63" s="19" t="s">
        <v>250</v>
      </c>
      <c r="D63" s="36" t="s">
        <v>64</v>
      </c>
      <c r="J63" t="s">
        <v>64</v>
      </c>
      <c r="K63" t="s">
        <v>64</v>
      </c>
      <c r="L63" t="s">
        <v>64</v>
      </c>
      <c r="M63" t="s">
        <v>64</v>
      </c>
      <c r="N63" t="s">
        <v>64</v>
      </c>
    </row>
    <row r="64" spans="1:14">
      <c r="A64" s="19"/>
      <c r="B64" t="s">
        <v>398</v>
      </c>
      <c r="D64" s="36" t="s">
        <v>585</v>
      </c>
      <c r="E64" t="s">
        <v>268</v>
      </c>
      <c r="J64" t="s">
        <v>97</v>
      </c>
      <c r="K64" t="s">
        <v>64</v>
      </c>
      <c r="L64" t="s">
        <v>64</v>
      </c>
      <c r="M64" t="s">
        <v>64</v>
      </c>
      <c r="N64" t="s">
        <v>134</v>
      </c>
    </row>
    <row r="65" spans="1:14">
      <c r="A65" s="19" t="s">
        <v>246</v>
      </c>
      <c r="D65" s="36" t="s">
        <v>64</v>
      </c>
      <c r="J65" t="s">
        <v>64</v>
      </c>
      <c r="K65" t="s">
        <v>64</v>
      </c>
      <c r="L65" t="s">
        <v>64</v>
      </c>
      <c r="M65" t="s">
        <v>64</v>
      </c>
      <c r="N65" t="s">
        <v>64</v>
      </c>
    </row>
    <row r="66" spans="1:14">
      <c r="A66" s="19"/>
      <c r="D66" s="36" t="s">
        <v>64</v>
      </c>
      <c r="J66" t="s">
        <v>64</v>
      </c>
      <c r="K66" t="s">
        <v>64</v>
      </c>
      <c r="L66" t="s">
        <v>64</v>
      </c>
      <c r="M66" t="s">
        <v>64</v>
      </c>
      <c r="N66" t="s">
        <v>64</v>
      </c>
    </row>
    <row r="67" spans="1:14">
      <c r="A67" s="19" t="s">
        <v>279</v>
      </c>
      <c r="D67" s="36" t="s">
        <v>64</v>
      </c>
      <c r="J67" t="s">
        <v>64</v>
      </c>
      <c r="K67" t="s">
        <v>64</v>
      </c>
      <c r="L67" t="s">
        <v>64</v>
      </c>
      <c r="M67" t="s">
        <v>64</v>
      </c>
      <c r="N67" t="s">
        <v>64</v>
      </c>
    </row>
    <row r="68" spans="1:14">
      <c r="A68" s="19"/>
      <c r="B68" t="s">
        <v>398</v>
      </c>
      <c r="D68" s="36" t="s">
        <v>585</v>
      </c>
      <c r="E68" t="s">
        <v>269</v>
      </c>
      <c r="J68" t="s">
        <v>97</v>
      </c>
      <c r="K68" t="s">
        <v>64</v>
      </c>
      <c r="L68" t="s">
        <v>64</v>
      </c>
      <c r="M68" t="s">
        <v>64</v>
      </c>
      <c r="N68" t="s">
        <v>134</v>
      </c>
    </row>
    <row r="69" spans="1:14">
      <c r="A69" s="19" t="s">
        <v>250</v>
      </c>
      <c r="D69" s="36" t="s">
        <v>64</v>
      </c>
      <c r="J69" t="s">
        <v>64</v>
      </c>
      <c r="K69" t="s">
        <v>64</v>
      </c>
      <c r="L69" t="s">
        <v>64</v>
      </c>
      <c r="M69" t="s">
        <v>64</v>
      </c>
      <c r="N69" t="s">
        <v>64</v>
      </c>
    </row>
    <row r="70" spans="1:14">
      <c r="A70" s="19"/>
      <c r="B70" t="s">
        <v>398</v>
      </c>
      <c r="D70" s="36" t="s">
        <v>585</v>
      </c>
      <c r="E70" t="s">
        <v>268</v>
      </c>
      <c r="J70" t="s">
        <v>97</v>
      </c>
      <c r="K70" t="s">
        <v>64</v>
      </c>
      <c r="L70" t="s">
        <v>64</v>
      </c>
      <c r="M70" t="s">
        <v>64</v>
      </c>
      <c r="N70" t="s">
        <v>134</v>
      </c>
    </row>
    <row r="71" spans="1:14">
      <c r="A71" s="19" t="s">
        <v>246</v>
      </c>
      <c r="D71" s="36" t="s">
        <v>64</v>
      </c>
      <c r="J71" t="s">
        <v>64</v>
      </c>
      <c r="K71" t="s">
        <v>64</v>
      </c>
      <c r="L71" t="s">
        <v>64</v>
      </c>
      <c r="M71" t="s">
        <v>64</v>
      </c>
      <c r="N71" t="s">
        <v>64</v>
      </c>
    </row>
    <row r="72" spans="1:14">
      <c r="A72" s="19"/>
      <c r="D72" s="36" t="s">
        <v>64</v>
      </c>
      <c r="J72" t="s">
        <v>64</v>
      </c>
      <c r="K72" t="s">
        <v>64</v>
      </c>
      <c r="L72" t="s">
        <v>64</v>
      </c>
      <c r="M72" t="s">
        <v>64</v>
      </c>
      <c r="N72" t="s">
        <v>64</v>
      </c>
    </row>
    <row r="73" spans="1:14">
      <c r="A73" s="19" t="s">
        <v>278</v>
      </c>
      <c r="D73" s="36" t="s">
        <v>64</v>
      </c>
      <c r="J73" t="s">
        <v>64</v>
      </c>
      <c r="K73" t="s">
        <v>64</v>
      </c>
      <c r="L73" t="s">
        <v>64</v>
      </c>
      <c r="M73" t="s">
        <v>64</v>
      </c>
      <c r="N73" t="s">
        <v>64</v>
      </c>
    </row>
    <row r="74" spans="1:14">
      <c r="A74" s="19"/>
      <c r="B74" t="s">
        <v>398</v>
      </c>
      <c r="D74" s="36" t="s">
        <v>585</v>
      </c>
      <c r="E74" t="s">
        <v>269</v>
      </c>
      <c r="J74" t="s">
        <v>97</v>
      </c>
      <c r="K74" t="s">
        <v>64</v>
      </c>
      <c r="L74" t="s">
        <v>64</v>
      </c>
      <c r="M74" t="s">
        <v>64</v>
      </c>
      <c r="N74" t="s">
        <v>134</v>
      </c>
    </row>
    <row r="75" spans="1:14">
      <c r="A75" s="19" t="s">
        <v>250</v>
      </c>
      <c r="D75" s="36" t="s">
        <v>64</v>
      </c>
      <c r="J75" t="s">
        <v>64</v>
      </c>
      <c r="K75" t="s">
        <v>64</v>
      </c>
      <c r="L75" t="s">
        <v>64</v>
      </c>
      <c r="M75" t="s">
        <v>64</v>
      </c>
      <c r="N75" t="s">
        <v>64</v>
      </c>
    </row>
    <row r="76" spans="1:14">
      <c r="A76" s="19"/>
      <c r="B76" t="s">
        <v>398</v>
      </c>
      <c r="D76" s="36" t="s">
        <v>585</v>
      </c>
      <c r="E76" t="s">
        <v>268</v>
      </c>
      <c r="J76" t="s">
        <v>97</v>
      </c>
      <c r="K76" t="s">
        <v>64</v>
      </c>
      <c r="L76" t="s">
        <v>64</v>
      </c>
      <c r="M76" t="s">
        <v>64</v>
      </c>
      <c r="N76" t="s">
        <v>134</v>
      </c>
    </row>
    <row r="77" spans="1:14">
      <c r="A77" s="19" t="s">
        <v>246</v>
      </c>
      <c r="D77" s="36" t="s">
        <v>64</v>
      </c>
      <c r="J77" t="s">
        <v>64</v>
      </c>
      <c r="K77" t="s">
        <v>64</v>
      </c>
      <c r="L77" t="s">
        <v>64</v>
      </c>
      <c r="M77" t="s">
        <v>64</v>
      </c>
      <c r="N77" t="s">
        <v>64</v>
      </c>
    </row>
    <row r="78" spans="1:14">
      <c r="A78" s="19"/>
      <c r="D78" s="36" t="s">
        <v>64</v>
      </c>
      <c r="J78" t="s">
        <v>64</v>
      </c>
      <c r="K78" t="s">
        <v>64</v>
      </c>
      <c r="L78" t="s">
        <v>64</v>
      </c>
      <c r="M78" t="s">
        <v>64</v>
      </c>
      <c r="N78" t="s">
        <v>64</v>
      </c>
    </row>
    <row r="79" spans="1:14">
      <c r="A79" s="19" t="s">
        <v>277</v>
      </c>
      <c r="D79" s="36" t="s">
        <v>64</v>
      </c>
      <c r="J79" t="s">
        <v>64</v>
      </c>
      <c r="K79" t="s">
        <v>64</v>
      </c>
      <c r="L79" t="s">
        <v>64</v>
      </c>
      <c r="M79" t="s">
        <v>64</v>
      </c>
      <c r="N79" t="s">
        <v>64</v>
      </c>
    </row>
    <row r="80" spans="1:14">
      <c r="A80" s="19"/>
      <c r="B80" t="s">
        <v>398</v>
      </c>
      <c r="D80" s="36" t="s">
        <v>585</v>
      </c>
      <c r="E80" t="s">
        <v>269</v>
      </c>
      <c r="J80" t="s">
        <v>97</v>
      </c>
      <c r="K80" t="s">
        <v>64</v>
      </c>
      <c r="L80" t="s">
        <v>64</v>
      </c>
      <c r="M80" t="s">
        <v>64</v>
      </c>
      <c r="N80" t="s">
        <v>134</v>
      </c>
    </row>
    <row r="81" spans="1:14">
      <c r="A81" s="19" t="s">
        <v>250</v>
      </c>
      <c r="D81" s="36" t="s">
        <v>64</v>
      </c>
      <c r="J81" t="s">
        <v>64</v>
      </c>
      <c r="K81" t="s">
        <v>64</v>
      </c>
      <c r="L81" t="s">
        <v>64</v>
      </c>
      <c r="M81" t="s">
        <v>64</v>
      </c>
      <c r="N81" t="s">
        <v>64</v>
      </c>
    </row>
    <row r="82" spans="1:14">
      <c r="A82" s="19"/>
      <c r="B82" t="s">
        <v>398</v>
      </c>
      <c r="D82" s="36" t="s">
        <v>585</v>
      </c>
      <c r="E82" t="s">
        <v>268</v>
      </c>
      <c r="J82" t="s">
        <v>97</v>
      </c>
      <c r="K82" t="s">
        <v>64</v>
      </c>
      <c r="L82" t="s">
        <v>64</v>
      </c>
      <c r="M82" t="s">
        <v>64</v>
      </c>
      <c r="N82" t="s">
        <v>134</v>
      </c>
    </row>
    <row r="83" spans="1:14">
      <c r="A83" s="19" t="s">
        <v>246</v>
      </c>
      <c r="D83" s="36" t="s">
        <v>64</v>
      </c>
      <c r="J83" t="s">
        <v>64</v>
      </c>
      <c r="K83" t="s">
        <v>64</v>
      </c>
      <c r="L83" t="s">
        <v>64</v>
      </c>
      <c r="M83" t="s">
        <v>64</v>
      </c>
      <c r="N83" t="s">
        <v>64</v>
      </c>
    </row>
    <row r="84" spans="1:14">
      <c r="A84" s="19"/>
      <c r="D84" s="36" t="s">
        <v>64</v>
      </c>
      <c r="J84" t="s">
        <v>64</v>
      </c>
      <c r="K84" t="s">
        <v>64</v>
      </c>
      <c r="L84" t="s">
        <v>64</v>
      </c>
      <c r="M84" t="s">
        <v>64</v>
      </c>
      <c r="N84" t="s">
        <v>64</v>
      </c>
    </row>
    <row r="85" spans="1:14" ht="18.75">
      <c r="A85" s="31" t="s">
        <v>276</v>
      </c>
      <c r="D85" s="36" t="s">
        <v>64</v>
      </c>
      <c r="J85" t="s">
        <v>64</v>
      </c>
      <c r="K85" t="s">
        <v>64</v>
      </c>
      <c r="L85" t="s">
        <v>64</v>
      </c>
      <c r="M85" t="s">
        <v>64</v>
      </c>
      <c r="N85" t="s">
        <v>64</v>
      </c>
    </row>
    <row r="86" spans="1:14">
      <c r="A86" s="30" t="s">
        <v>275</v>
      </c>
      <c r="D86" s="36" t="s">
        <v>64</v>
      </c>
      <c r="J86" t="s">
        <v>64</v>
      </c>
      <c r="K86" t="s">
        <v>64</v>
      </c>
      <c r="L86" t="s">
        <v>64</v>
      </c>
      <c r="M86" t="s">
        <v>64</v>
      </c>
      <c r="N86" t="s">
        <v>64</v>
      </c>
    </row>
    <row r="87" spans="1:14">
      <c r="A87" s="19"/>
      <c r="B87" t="s">
        <v>522</v>
      </c>
      <c r="D87" s="36" t="s">
        <v>585</v>
      </c>
      <c r="E87" t="s">
        <v>274</v>
      </c>
      <c r="F87" t="s">
        <v>273</v>
      </c>
      <c r="H87" t="s">
        <v>272</v>
      </c>
      <c r="J87" t="s">
        <v>189</v>
      </c>
      <c r="K87" t="s">
        <v>190</v>
      </c>
      <c r="L87" t="s">
        <v>191</v>
      </c>
      <c r="M87" t="s">
        <v>192</v>
      </c>
      <c r="N87" t="s">
        <v>188</v>
      </c>
    </row>
    <row r="88" spans="1:14">
      <c r="A88" s="30" t="s">
        <v>271</v>
      </c>
      <c r="D88" s="36" t="s">
        <v>64</v>
      </c>
      <c r="J88" t="s">
        <v>64</v>
      </c>
      <c r="K88" t="s">
        <v>64</v>
      </c>
      <c r="L88" t="s">
        <v>64</v>
      </c>
      <c r="M88" t="s">
        <v>64</v>
      </c>
      <c r="N88" t="s">
        <v>64</v>
      </c>
    </row>
    <row r="89" spans="1:14">
      <c r="A89" s="19" t="s">
        <v>270</v>
      </c>
      <c r="D89" s="36" t="s">
        <v>64</v>
      </c>
      <c r="J89" t="s">
        <v>64</v>
      </c>
      <c r="K89" t="s">
        <v>64</v>
      </c>
      <c r="L89" t="s">
        <v>64</v>
      </c>
      <c r="M89" t="s">
        <v>64</v>
      </c>
      <c r="N89" t="s">
        <v>64</v>
      </c>
    </row>
    <row r="90" spans="1:14">
      <c r="A90" s="19"/>
      <c r="B90" t="s">
        <v>398</v>
      </c>
      <c r="D90" s="36" t="s">
        <v>585</v>
      </c>
      <c r="E90" t="s">
        <v>269</v>
      </c>
      <c r="J90" t="s">
        <v>97</v>
      </c>
      <c r="K90" t="s">
        <v>64</v>
      </c>
      <c r="L90" t="s">
        <v>64</v>
      </c>
      <c r="M90" t="s">
        <v>64</v>
      </c>
      <c r="N90" t="s">
        <v>134</v>
      </c>
    </row>
    <row r="91" spans="1:14">
      <c r="A91" s="19" t="s">
        <v>250</v>
      </c>
      <c r="D91" s="36" t="s">
        <v>64</v>
      </c>
      <c r="J91" t="s">
        <v>64</v>
      </c>
      <c r="K91" t="s">
        <v>64</v>
      </c>
      <c r="L91" t="s">
        <v>64</v>
      </c>
      <c r="M91" t="s">
        <v>64</v>
      </c>
      <c r="N91" t="s">
        <v>64</v>
      </c>
    </row>
    <row r="92" spans="1:14">
      <c r="A92" s="19"/>
      <c r="B92" t="s">
        <v>398</v>
      </c>
      <c r="D92" s="36" t="s">
        <v>585</v>
      </c>
      <c r="E92" t="s">
        <v>268</v>
      </c>
      <c r="J92" t="s">
        <v>97</v>
      </c>
      <c r="K92" t="s">
        <v>64</v>
      </c>
      <c r="L92" t="s">
        <v>64</v>
      </c>
      <c r="M92" t="s">
        <v>64</v>
      </c>
      <c r="N92" t="s">
        <v>134</v>
      </c>
    </row>
    <row r="93" spans="1:14">
      <c r="A93" s="19" t="s">
        <v>246</v>
      </c>
      <c r="D93" s="36" t="s">
        <v>64</v>
      </c>
      <c r="J93" t="s">
        <v>64</v>
      </c>
      <c r="K93" t="s">
        <v>64</v>
      </c>
      <c r="L93" t="s">
        <v>64</v>
      </c>
      <c r="M93" t="s">
        <v>64</v>
      </c>
      <c r="N93" t="s">
        <v>64</v>
      </c>
    </row>
    <row r="94" spans="1:14">
      <c r="A94"/>
      <c r="D94" s="36" t="s">
        <v>64</v>
      </c>
      <c r="J94" t="s">
        <v>64</v>
      </c>
      <c r="K94" t="s">
        <v>64</v>
      </c>
      <c r="L94" t="s">
        <v>64</v>
      </c>
      <c r="M94" t="s">
        <v>64</v>
      </c>
      <c r="N94" t="s">
        <v>64</v>
      </c>
    </row>
    <row r="95" spans="1:14" ht="18.75">
      <c r="A95" s="31" t="s">
        <v>267</v>
      </c>
      <c r="D95" s="36" t="s">
        <v>64</v>
      </c>
      <c r="J95" t="s">
        <v>64</v>
      </c>
      <c r="K95" t="s">
        <v>64</v>
      </c>
      <c r="L95" t="s">
        <v>64</v>
      </c>
      <c r="M95" t="s">
        <v>64</v>
      </c>
      <c r="N95" t="s">
        <v>64</v>
      </c>
    </row>
    <row r="96" spans="1:14">
      <c r="A96" s="30" t="s">
        <v>263</v>
      </c>
      <c r="D96" s="36" t="s">
        <v>64</v>
      </c>
      <c r="J96" t="s">
        <v>64</v>
      </c>
      <c r="K96" t="s">
        <v>64</v>
      </c>
      <c r="L96" t="s">
        <v>64</v>
      </c>
      <c r="M96" t="s">
        <v>64</v>
      </c>
      <c r="N96" t="s">
        <v>64</v>
      </c>
    </row>
    <row r="97" spans="1:14">
      <c r="A97" s="19"/>
      <c r="B97" t="s">
        <v>424</v>
      </c>
      <c r="D97" s="36" t="s">
        <v>585</v>
      </c>
      <c r="E97" t="s">
        <v>249</v>
      </c>
      <c r="F97" t="s">
        <v>262</v>
      </c>
      <c r="G97" t="s">
        <v>257</v>
      </c>
      <c r="H97" t="s">
        <v>261</v>
      </c>
      <c r="J97" t="s">
        <v>63</v>
      </c>
      <c r="K97" t="s">
        <v>72</v>
      </c>
      <c r="L97" t="s">
        <v>66</v>
      </c>
      <c r="M97" t="s">
        <v>67</v>
      </c>
      <c r="N97" t="s">
        <v>75</v>
      </c>
    </row>
    <row r="98" spans="1:14">
      <c r="A98" s="19"/>
      <c r="B98" t="s">
        <v>424</v>
      </c>
      <c r="D98" s="36" t="s">
        <v>585</v>
      </c>
      <c r="E98" t="s">
        <v>249</v>
      </c>
      <c r="F98" t="s">
        <v>260</v>
      </c>
      <c r="G98" t="s">
        <v>257</v>
      </c>
      <c r="H98" t="s">
        <v>259</v>
      </c>
      <c r="J98" t="s">
        <v>63</v>
      </c>
      <c r="K98" t="s">
        <v>72</v>
      </c>
      <c r="L98" t="s">
        <v>66</v>
      </c>
      <c r="M98" t="s">
        <v>67</v>
      </c>
      <c r="N98" t="s">
        <v>75</v>
      </c>
    </row>
    <row r="99" spans="1:14">
      <c r="A99" s="19"/>
      <c r="B99" t="s">
        <v>424</v>
      </c>
      <c r="D99" s="36" t="s">
        <v>585</v>
      </c>
      <c r="E99" t="s">
        <v>249</v>
      </c>
      <c r="F99" t="s">
        <v>258</v>
      </c>
      <c r="G99" t="s">
        <v>257</v>
      </c>
      <c r="H99" t="s">
        <v>256</v>
      </c>
      <c r="J99" t="s">
        <v>63</v>
      </c>
      <c r="K99" t="s">
        <v>72</v>
      </c>
      <c r="L99" t="s">
        <v>66</v>
      </c>
      <c r="M99" t="s">
        <v>67</v>
      </c>
      <c r="N99" t="s">
        <v>75</v>
      </c>
    </row>
    <row r="100" spans="1:14">
      <c r="A100" s="30" t="s">
        <v>255</v>
      </c>
      <c r="D100" s="36" t="s">
        <v>64</v>
      </c>
      <c r="J100" t="s">
        <v>64</v>
      </c>
      <c r="K100" t="s">
        <v>64</v>
      </c>
      <c r="L100" t="s">
        <v>64</v>
      </c>
      <c r="M100" t="s">
        <v>64</v>
      </c>
      <c r="N100" t="s">
        <v>64</v>
      </c>
    </row>
    <row r="101" spans="1:14">
      <c r="A101" s="19" t="s">
        <v>266</v>
      </c>
      <c r="D101" s="36" t="s">
        <v>64</v>
      </c>
      <c r="J101" t="s">
        <v>64</v>
      </c>
      <c r="K101" t="s">
        <v>64</v>
      </c>
      <c r="L101" t="s">
        <v>64</v>
      </c>
      <c r="M101" t="s">
        <v>64</v>
      </c>
      <c r="N101" t="s">
        <v>64</v>
      </c>
    </row>
    <row r="102" spans="1:14">
      <c r="A102" s="29" t="s">
        <v>265</v>
      </c>
      <c r="D102" s="36" t="s">
        <v>64</v>
      </c>
      <c r="J102" t="s">
        <v>64</v>
      </c>
      <c r="K102" t="s">
        <v>64</v>
      </c>
      <c r="L102" t="s">
        <v>64</v>
      </c>
      <c r="M102" t="s">
        <v>64</v>
      </c>
      <c r="N102" t="s">
        <v>64</v>
      </c>
    </row>
    <row r="103" spans="1:14">
      <c r="A103" s="19"/>
      <c r="B103" t="s">
        <v>428</v>
      </c>
      <c r="D103" s="36" t="s">
        <v>585</v>
      </c>
      <c r="E103" t="s">
        <v>249</v>
      </c>
      <c r="F103" t="s">
        <v>248</v>
      </c>
      <c r="G103" t="s">
        <v>252</v>
      </c>
      <c r="J103" t="s">
        <v>63</v>
      </c>
      <c r="K103" t="s">
        <v>72</v>
      </c>
      <c r="L103" t="s">
        <v>78</v>
      </c>
      <c r="M103" t="s">
        <v>64</v>
      </c>
      <c r="N103" t="s">
        <v>77</v>
      </c>
    </row>
    <row r="104" spans="1:14">
      <c r="A104" s="29" t="s">
        <v>250</v>
      </c>
      <c r="D104" s="36" t="s">
        <v>64</v>
      </c>
      <c r="J104" t="s">
        <v>64</v>
      </c>
      <c r="K104" t="s">
        <v>64</v>
      </c>
      <c r="L104" t="s">
        <v>64</v>
      </c>
      <c r="M104" t="s">
        <v>64</v>
      </c>
      <c r="N104" t="s">
        <v>64</v>
      </c>
    </row>
    <row r="105" spans="1:14">
      <c r="A105" s="19"/>
      <c r="B105" t="s">
        <v>428</v>
      </c>
      <c r="D105" s="36" t="s">
        <v>585</v>
      </c>
      <c r="E105" t="s">
        <v>249</v>
      </c>
      <c r="F105" t="s">
        <v>248</v>
      </c>
      <c r="G105" t="s">
        <v>251</v>
      </c>
      <c r="J105" t="s">
        <v>63</v>
      </c>
      <c r="K105" t="s">
        <v>72</v>
      </c>
      <c r="L105" t="s">
        <v>78</v>
      </c>
      <c r="M105" t="s">
        <v>64</v>
      </c>
      <c r="N105" t="s">
        <v>77</v>
      </c>
    </row>
    <row r="106" spans="1:14">
      <c r="A106" s="29" t="s">
        <v>246</v>
      </c>
      <c r="D106" s="36" t="s">
        <v>64</v>
      </c>
      <c r="J106" t="s">
        <v>64</v>
      </c>
      <c r="K106" t="s">
        <v>64</v>
      </c>
      <c r="L106" t="s">
        <v>64</v>
      </c>
      <c r="M106" t="s">
        <v>64</v>
      </c>
      <c r="N106" t="s">
        <v>64</v>
      </c>
    </row>
    <row r="107" spans="1:14">
      <c r="A107" s="19" t="s">
        <v>250</v>
      </c>
      <c r="D107" s="36" t="s">
        <v>64</v>
      </c>
      <c r="J107" t="s">
        <v>64</v>
      </c>
      <c r="K107" t="s">
        <v>64</v>
      </c>
      <c r="L107" t="s">
        <v>64</v>
      </c>
      <c r="M107" t="s">
        <v>64</v>
      </c>
      <c r="N107" t="s">
        <v>64</v>
      </c>
    </row>
    <row r="108" spans="1:14">
      <c r="A108" s="19"/>
      <c r="B108" t="s">
        <v>428</v>
      </c>
      <c r="D108" s="36" t="s">
        <v>585</v>
      </c>
      <c r="E108" t="s">
        <v>249</v>
      </c>
      <c r="F108" t="s">
        <v>248</v>
      </c>
      <c r="G108" t="s">
        <v>247</v>
      </c>
      <c r="J108" t="s">
        <v>63</v>
      </c>
      <c r="K108" t="s">
        <v>72</v>
      </c>
      <c r="L108" t="s">
        <v>78</v>
      </c>
      <c r="M108" t="s">
        <v>64</v>
      </c>
      <c r="N108" t="s">
        <v>77</v>
      </c>
    </row>
    <row r="109" spans="1:14">
      <c r="A109" s="19" t="s">
        <v>246</v>
      </c>
      <c r="D109" s="36" t="s">
        <v>64</v>
      </c>
      <c r="J109" t="s">
        <v>64</v>
      </c>
      <c r="K109" t="s">
        <v>64</v>
      </c>
      <c r="L109" t="s">
        <v>64</v>
      </c>
      <c r="M109" t="s">
        <v>64</v>
      </c>
      <c r="N109" t="s">
        <v>64</v>
      </c>
    </row>
    <row r="110" spans="1:14">
      <c r="A110"/>
      <c r="D110" s="36" t="s">
        <v>64</v>
      </c>
      <c r="J110" t="s">
        <v>64</v>
      </c>
      <c r="K110" t="s">
        <v>64</v>
      </c>
      <c r="L110" t="s">
        <v>64</v>
      </c>
      <c r="M110" t="s">
        <v>64</v>
      </c>
      <c r="N110" t="s">
        <v>64</v>
      </c>
    </row>
    <row r="111" spans="1:14" ht="18.75">
      <c r="A111" s="31" t="s">
        <v>264</v>
      </c>
      <c r="D111" s="36" t="s">
        <v>64</v>
      </c>
      <c r="J111" t="s">
        <v>64</v>
      </c>
      <c r="K111" t="s">
        <v>64</v>
      </c>
      <c r="L111" t="s">
        <v>64</v>
      </c>
      <c r="M111" t="s">
        <v>64</v>
      </c>
      <c r="N111" t="s">
        <v>64</v>
      </c>
    </row>
    <row r="112" spans="1:14">
      <c r="A112" s="30" t="s">
        <v>263</v>
      </c>
      <c r="D112" s="36" t="s">
        <v>64</v>
      </c>
      <c r="J112" t="s">
        <v>64</v>
      </c>
      <c r="K112" t="s">
        <v>64</v>
      </c>
      <c r="L112" t="s">
        <v>64</v>
      </c>
      <c r="M112" t="s">
        <v>64</v>
      </c>
      <c r="N112" t="s">
        <v>64</v>
      </c>
    </row>
    <row r="113" spans="1:14">
      <c r="A113" s="19"/>
      <c r="B113" t="s">
        <v>424</v>
      </c>
      <c r="D113" s="36" t="s">
        <v>585</v>
      </c>
      <c r="E113" t="s">
        <v>249</v>
      </c>
      <c r="F113" t="s">
        <v>262</v>
      </c>
      <c r="G113" t="s">
        <v>257</v>
      </c>
      <c r="H113" t="s">
        <v>261</v>
      </c>
      <c r="J113" t="s">
        <v>63</v>
      </c>
      <c r="K113" t="s">
        <v>72</v>
      </c>
      <c r="L113" t="s">
        <v>66</v>
      </c>
      <c r="M113" t="s">
        <v>67</v>
      </c>
      <c r="N113" t="s">
        <v>75</v>
      </c>
    </row>
    <row r="114" spans="1:14">
      <c r="A114" s="19"/>
      <c r="B114" t="s">
        <v>424</v>
      </c>
      <c r="D114" s="36" t="s">
        <v>585</v>
      </c>
      <c r="E114" t="s">
        <v>249</v>
      </c>
      <c r="F114" t="s">
        <v>260</v>
      </c>
      <c r="G114" t="s">
        <v>257</v>
      </c>
      <c r="H114" t="s">
        <v>259</v>
      </c>
      <c r="J114" t="s">
        <v>63</v>
      </c>
      <c r="K114" t="s">
        <v>72</v>
      </c>
      <c r="L114" t="s">
        <v>66</v>
      </c>
      <c r="M114" t="s">
        <v>67</v>
      </c>
      <c r="N114" t="s">
        <v>75</v>
      </c>
    </row>
    <row r="115" spans="1:14">
      <c r="A115" s="19"/>
      <c r="B115" t="s">
        <v>424</v>
      </c>
      <c r="D115" s="36" t="s">
        <v>585</v>
      </c>
      <c r="E115" t="s">
        <v>249</v>
      </c>
      <c r="F115" t="s">
        <v>258</v>
      </c>
      <c r="G115" t="s">
        <v>257</v>
      </c>
      <c r="H115" t="s">
        <v>256</v>
      </c>
      <c r="J115" t="s">
        <v>63</v>
      </c>
      <c r="K115" t="s">
        <v>72</v>
      </c>
      <c r="L115" t="s">
        <v>66</v>
      </c>
      <c r="M115" t="s">
        <v>67</v>
      </c>
      <c r="N115" t="s">
        <v>75</v>
      </c>
    </row>
    <row r="116" spans="1:14">
      <c r="A116" s="30" t="s">
        <v>255</v>
      </c>
      <c r="D116" s="36" t="s">
        <v>64</v>
      </c>
      <c r="J116" t="s">
        <v>64</v>
      </c>
      <c r="K116" t="s">
        <v>64</v>
      </c>
      <c r="L116" t="s">
        <v>64</v>
      </c>
      <c r="M116" t="s">
        <v>64</v>
      </c>
      <c r="N116" t="s">
        <v>64</v>
      </c>
    </row>
    <row r="117" spans="1:14">
      <c r="A117" s="19" t="s">
        <v>254</v>
      </c>
      <c r="D117" s="36" t="s">
        <v>64</v>
      </c>
      <c r="J117" t="s">
        <v>64</v>
      </c>
      <c r="K117" t="s">
        <v>64</v>
      </c>
      <c r="L117" t="s">
        <v>64</v>
      </c>
      <c r="M117" t="s">
        <v>64</v>
      </c>
      <c r="N117" t="s">
        <v>64</v>
      </c>
    </row>
    <row r="118" spans="1:14">
      <c r="A118" s="29" t="s">
        <v>253</v>
      </c>
      <c r="D118" s="36" t="s">
        <v>64</v>
      </c>
      <c r="J118" t="s">
        <v>64</v>
      </c>
      <c r="K118" t="s">
        <v>64</v>
      </c>
      <c r="L118" t="s">
        <v>64</v>
      </c>
      <c r="M118" t="s">
        <v>64</v>
      </c>
      <c r="N118" t="s">
        <v>64</v>
      </c>
    </row>
    <row r="119" spans="1:14">
      <c r="A119" s="19"/>
      <c r="B119" t="s">
        <v>428</v>
      </c>
      <c r="D119" s="36" t="s">
        <v>585</v>
      </c>
      <c r="E119" t="s">
        <v>249</v>
      </c>
      <c r="F119" t="s">
        <v>248</v>
      </c>
      <c r="G119" t="s">
        <v>252</v>
      </c>
      <c r="J119" t="s">
        <v>63</v>
      </c>
      <c r="K119" t="s">
        <v>72</v>
      </c>
      <c r="L119" t="s">
        <v>78</v>
      </c>
      <c r="M119" t="s">
        <v>64</v>
      </c>
      <c r="N119" t="s">
        <v>77</v>
      </c>
    </row>
    <row r="120" spans="1:14">
      <c r="A120" s="29" t="s">
        <v>250</v>
      </c>
      <c r="D120" s="36" t="s">
        <v>64</v>
      </c>
      <c r="J120" t="s">
        <v>64</v>
      </c>
      <c r="K120" t="s">
        <v>64</v>
      </c>
      <c r="L120" t="s">
        <v>64</v>
      </c>
      <c r="M120" t="s">
        <v>64</v>
      </c>
      <c r="N120" t="s">
        <v>64</v>
      </c>
    </row>
    <row r="121" spans="1:14">
      <c r="A121" s="19"/>
      <c r="B121" t="s">
        <v>428</v>
      </c>
      <c r="D121" s="36" t="s">
        <v>585</v>
      </c>
      <c r="E121" t="s">
        <v>249</v>
      </c>
      <c r="F121" t="s">
        <v>248</v>
      </c>
      <c r="G121" t="s">
        <v>251</v>
      </c>
      <c r="J121" t="s">
        <v>63</v>
      </c>
      <c r="K121" t="s">
        <v>72</v>
      </c>
      <c r="L121" t="s">
        <v>78</v>
      </c>
      <c r="M121" t="s">
        <v>64</v>
      </c>
      <c r="N121" t="s">
        <v>77</v>
      </c>
    </row>
    <row r="122" spans="1:14">
      <c r="A122" s="29" t="s">
        <v>246</v>
      </c>
      <c r="D122" s="36" t="s">
        <v>64</v>
      </c>
      <c r="J122" t="s">
        <v>64</v>
      </c>
      <c r="K122" t="s">
        <v>64</v>
      </c>
      <c r="L122" t="s">
        <v>64</v>
      </c>
      <c r="M122" t="s">
        <v>64</v>
      </c>
      <c r="N122" t="s">
        <v>64</v>
      </c>
    </row>
    <row r="123" spans="1:14">
      <c r="A123" s="19" t="s">
        <v>250</v>
      </c>
      <c r="D123" s="36" t="s">
        <v>64</v>
      </c>
      <c r="J123" t="s">
        <v>64</v>
      </c>
      <c r="K123" t="s">
        <v>64</v>
      </c>
      <c r="L123" t="s">
        <v>64</v>
      </c>
      <c r="M123" t="s">
        <v>64</v>
      </c>
      <c r="N123" t="s">
        <v>64</v>
      </c>
    </row>
    <row r="124" spans="1:14">
      <c r="A124" s="19"/>
      <c r="B124" t="s">
        <v>428</v>
      </c>
      <c r="D124" s="36" t="s">
        <v>585</v>
      </c>
      <c r="E124" t="s">
        <v>249</v>
      </c>
      <c r="F124" t="s">
        <v>248</v>
      </c>
      <c r="G124" t="s">
        <v>247</v>
      </c>
      <c r="J124" t="s">
        <v>63</v>
      </c>
      <c r="K124" t="s">
        <v>72</v>
      </c>
      <c r="L124" t="s">
        <v>78</v>
      </c>
      <c r="M124" t="s">
        <v>64</v>
      </c>
      <c r="N124" t="s">
        <v>77</v>
      </c>
    </row>
    <row r="125" spans="1:14">
      <c r="A125" s="19" t="s">
        <v>246</v>
      </c>
      <c r="D125" s="36" t="str">
        <f>IF(NOT(AND(ISBLANK(B125),ISBLANK(C125))),IFERROR(IF(ISTEXT(INDEX(#REF!,MATCH(B125,#REF!,0),MATCH(C125,#REF!,0))),HYPERLINK(INDEX(#REF!,MATCH(B125,#REF!,0),MATCH(C125,#REF!,0)),"_YES_"),INDEX(#REF!,MATCH(B125,#REF!,0),MATCH(C125,#REF!,0))),FALSE),"")</f>
        <v/>
      </c>
      <c r="J125" t="s">
        <v>64</v>
      </c>
      <c r="K125" t="s">
        <v>64</v>
      </c>
      <c r="L125" t="s">
        <v>64</v>
      </c>
      <c r="M125" t="s">
        <v>64</v>
      </c>
      <c r="N125" t="s">
        <v>64</v>
      </c>
    </row>
    <row r="126" spans="1:14">
      <c r="D126" s="36" t="str">
        <f>IF(NOT(AND(ISBLANK(B126),ISBLANK(C126))),IFERROR(IF(ISTEXT(INDEX(#REF!,MATCH(B126,#REF!,0),MATCH(C126,#REF!,0))),HYPERLINK(INDEX(#REF!,MATCH(B126,#REF!,0),MATCH(C126,#REF!,0)),"_YES_"),INDEX(#REF!,MATCH(B126,#REF!,0),MATCH(C126,#REF!,0))),FALSE),"")</f>
        <v/>
      </c>
      <c r="J126" t="s">
        <v>64</v>
      </c>
      <c r="K126" t="s">
        <v>64</v>
      </c>
      <c r="L126" t="s">
        <v>64</v>
      </c>
      <c r="M126" t="s">
        <v>64</v>
      </c>
      <c r="N126" t="s">
        <v>64</v>
      </c>
    </row>
    <row r="127" spans="1:14">
      <c r="D127" s="36" t="str">
        <f>IF(NOT(AND(ISBLANK(B127),ISBLANK(C127))),IFERROR(IF(ISTEXT(INDEX(#REF!,MATCH(B127,#REF!,0),MATCH(C127,#REF!,0))),HYPERLINK(INDEX(#REF!,MATCH(B127,#REF!,0),MATCH(C127,#REF!,0)),"_YES_"),INDEX(#REF!,MATCH(B127,#REF!,0),MATCH(C127,#REF!,0))),FALSE),"")</f>
        <v/>
      </c>
      <c r="J127" t="s">
        <v>64</v>
      </c>
      <c r="K127" t="s">
        <v>64</v>
      </c>
      <c r="L127" t="s">
        <v>64</v>
      </c>
      <c r="M127" t="s">
        <v>64</v>
      </c>
      <c r="N127" t="s">
        <v>64</v>
      </c>
    </row>
    <row r="128" spans="1:14">
      <c r="D128" s="36" t="str">
        <f>IF(NOT(AND(ISBLANK(B128),ISBLANK(C128))),IFERROR(IF(ISTEXT(INDEX(#REF!,MATCH(B128,#REF!,0),MATCH(C128,#REF!,0))),HYPERLINK(INDEX(#REF!,MATCH(B128,#REF!,0),MATCH(C128,#REF!,0)),"_YES_"),INDEX(#REF!,MATCH(B128,#REF!,0),MATCH(C128,#REF!,0))),FALSE),"")</f>
        <v/>
      </c>
      <c r="J128" t="s">
        <v>64</v>
      </c>
      <c r="K128" t="s">
        <v>64</v>
      </c>
      <c r="L128" t="s">
        <v>64</v>
      </c>
      <c r="M128" t="s">
        <v>64</v>
      </c>
      <c r="N128" t="s">
        <v>64</v>
      </c>
    </row>
    <row r="129" spans="4:14">
      <c r="D129" s="36" t="str">
        <f>IF(NOT(AND(ISBLANK(B129),ISBLANK(C129))),IFERROR(IF(ISTEXT(INDEX(#REF!,MATCH(B129,#REF!,0),MATCH(C129,#REF!,0))),HYPERLINK(INDEX(#REF!,MATCH(B129,#REF!,0),MATCH(C129,#REF!,0)),"_YES_"),INDEX(#REF!,MATCH(B129,#REF!,0),MATCH(C129,#REF!,0))),FALSE),"")</f>
        <v/>
      </c>
      <c r="J129" t="s">
        <v>64</v>
      </c>
      <c r="K129" t="s">
        <v>64</v>
      </c>
      <c r="L129" t="s">
        <v>64</v>
      </c>
      <c r="M129" t="s">
        <v>64</v>
      </c>
      <c r="N129" t="s">
        <v>64</v>
      </c>
    </row>
    <row r="130" spans="4:14">
      <c r="D130" s="36" t="str">
        <f>IF(NOT(AND(ISBLANK(B130),ISBLANK(C130))),IFERROR(IF(ISTEXT(INDEX(#REF!,MATCH(B130,#REF!,0),MATCH(C130,#REF!,0))),HYPERLINK(INDEX(#REF!,MATCH(B130,#REF!,0),MATCH(C130,#REF!,0)),"_YES_"),INDEX(#REF!,MATCH(B130,#REF!,0),MATCH(C130,#REF!,0))),FALSE),"")</f>
        <v/>
      </c>
      <c r="J130" t="s">
        <v>64</v>
      </c>
      <c r="K130" t="s">
        <v>64</v>
      </c>
      <c r="L130" t="s">
        <v>64</v>
      </c>
      <c r="M130" t="s">
        <v>64</v>
      </c>
      <c r="N130" t="s">
        <v>64</v>
      </c>
    </row>
    <row r="131" spans="4:14">
      <c r="D131" s="36" t="str">
        <f>IF(NOT(AND(ISBLANK(B131),ISBLANK(C131))),IFERROR(IF(ISTEXT(INDEX(#REF!,MATCH(B131,#REF!,0),MATCH(C131,#REF!,0))),HYPERLINK(INDEX(#REF!,MATCH(B131,#REF!,0),MATCH(C131,#REF!,0)),"_YES_"),INDEX(#REF!,MATCH(B131,#REF!,0),MATCH(C131,#REF!,0))),FALSE),"")</f>
        <v/>
      </c>
      <c r="J131" t="s">
        <v>64</v>
      </c>
      <c r="K131" t="s">
        <v>64</v>
      </c>
      <c r="L131" t="s">
        <v>64</v>
      </c>
      <c r="M131" t="s">
        <v>64</v>
      </c>
      <c r="N131" t="s">
        <v>64</v>
      </c>
    </row>
    <row r="132" spans="4:14">
      <c r="D132" s="36" t="str">
        <f>IF(NOT(AND(ISBLANK(B132),ISBLANK(C132))),IFERROR(IF(ISTEXT(INDEX(#REF!,MATCH(B132,#REF!,0),MATCH(C132,#REF!,0))),HYPERLINK(INDEX(#REF!,MATCH(B132,#REF!,0),MATCH(C132,#REF!,0)),"_YES_"),INDEX(#REF!,MATCH(B132,#REF!,0),MATCH(C132,#REF!,0))),FALSE),"")</f>
        <v/>
      </c>
      <c r="J132" t="s">
        <v>64</v>
      </c>
      <c r="K132" t="s">
        <v>64</v>
      </c>
      <c r="L132" t="s">
        <v>64</v>
      </c>
      <c r="M132" t="s">
        <v>64</v>
      </c>
      <c r="N132" t="s">
        <v>64</v>
      </c>
    </row>
    <row r="133" spans="4:14">
      <c r="D133" s="36" t="str">
        <f>IF(NOT(AND(ISBLANK(B133),ISBLANK(C133))),IFERROR(IF(ISTEXT(INDEX(#REF!,MATCH(B133,#REF!,0),MATCH(C133,#REF!,0))),HYPERLINK(INDEX(#REF!,MATCH(B133,#REF!,0),MATCH(C133,#REF!,0)),"_YES_"),INDEX(#REF!,MATCH(B133,#REF!,0),MATCH(C133,#REF!,0))),FALSE),"")</f>
        <v/>
      </c>
      <c r="J133" t="s">
        <v>64</v>
      </c>
      <c r="K133" t="s">
        <v>64</v>
      </c>
      <c r="L133" t="s">
        <v>64</v>
      </c>
      <c r="M133" t="s">
        <v>64</v>
      </c>
      <c r="N133" t="s">
        <v>64</v>
      </c>
    </row>
    <row r="134" spans="4:14">
      <c r="D134" s="36" t="str">
        <f>IF(NOT(AND(ISBLANK(B134),ISBLANK(C134))),IFERROR(IF(ISTEXT(INDEX(#REF!,MATCH(B134,#REF!,0),MATCH(C134,#REF!,0))),HYPERLINK(INDEX(#REF!,MATCH(B134,#REF!,0),MATCH(C134,#REF!,0)),"_YES_"),INDEX(#REF!,MATCH(B134,#REF!,0),MATCH(C134,#REF!,0))),FALSE),"")</f>
        <v/>
      </c>
      <c r="J134" t="s">
        <v>64</v>
      </c>
      <c r="K134" t="s">
        <v>64</v>
      </c>
      <c r="L134" t="s">
        <v>64</v>
      </c>
      <c r="M134" t="s">
        <v>64</v>
      </c>
      <c r="N134" t="s">
        <v>64</v>
      </c>
    </row>
    <row r="135" spans="4:14">
      <c r="D135" s="36" t="str">
        <f>IF(NOT(AND(ISBLANK(B135),ISBLANK(C135))),IFERROR(IF(ISTEXT(INDEX(#REF!,MATCH(B135,#REF!,0),MATCH(C135,#REF!,0))),HYPERLINK(INDEX(#REF!,MATCH(B135,#REF!,0),MATCH(C135,#REF!,0)),"_YES_"),INDEX(#REF!,MATCH(B135,#REF!,0),MATCH(C135,#REF!,0))),FALSE),"")</f>
        <v/>
      </c>
      <c r="J135" t="s">
        <v>64</v>
      </c>
      <c r="K135" t="s">
        <v>64</v>
      </c>
      <c r="L135" t="s">
        <v>64</v>
      </c>
      <c r="M135" t="s">
        <v>64</v>
      </c>
      <c r="N135" t="s">
        <v>64</v>
      </c>
    </row>
    <row r="136" spans="4:14">
      <c r="D136" s="36" t="str">
        <f>IF(NOT(AND(ISBLANK(B136),ISBLANK(C136))),IFERROR(IF(ISTEXT(INDEX(#REF!,MATCH(B136,#REF!,0),MATCH(C136,#REF!,0))),HYPERLINK(INDEX(#REF!,MATCH(B136,#REF!,0),MATCH(C136,#REF!,0)),"_YES_"),INDEX(#REF!,MATCH(B136,#REF!,0),MATCH(C136,#REF!,0))),FALSE),"")</f>
        <v/>
      </c>
      <c r="J136" t="s">
        <v>64</v>
      </c>
      <c r="K136" t="s">
        <v>64</v>
      </c>
      <c r="L136" t="s">
        <v>64</v>
      </c>
      <c r="M136" t="s">
        <v>64</v>
      </c>
      <c r="N136" t="s">
        <v>64</v>
      </c>
    </row>
    <row r="137" spans="4:14">
      <c r="D137" s="36" t="str">
        <f>IF(NOT(AND(ISBLANK(B137),ISBLANK(C137))),IFERROR(IF(ISTEXT(INDEX(#REF!,MATCH(B137,#REF!,0),MATCH(C137,#REF!,0))),HYPERLINK(INDEX(#REF!,MATCH(B137,#REF!,0),MATCH(C137,#REF!,0)),"_YES_"),INDEX(#REF!,MATCH(B137,#REF!,0),MATCH(C137,#REF!,0))),FALSE),"")</f>
        <v/>
      </c>
      <c r="J137" t="s">
        <v>64</v>
      </c>
      <c r="K137" t="s">
        <v>64</v>
      </c>
      <c r="L137" t="s">
        <v>64</v>
      </c>
      <c r="M137" t="s">
        <v>64</v>
      </c>
      <c r="N137" t="s">
        <v>64</v>
      </c>
    </row>
    <row r="138" spans="4:14">
      <c r="D138" s="36" t="str">
        <f>IF(NOT(AND(ISBLANK(B138),ISBLANK(C138))),IFERROR(IF(ISTEXT(INDEX(#REF!,MATCH(B138,#REF!,0),MATCH(C138,#REF!,0))),HYPERLINK(INDEX(#REF!,MATCH(B138,#REF!,0),MATCH(C138,#REF!,0)),"_YES_"),INDEX(#REF!,MATCH(B138,#REF!,0),MATCH(C138,#REF!,0))),FALSE),"")</f>
        <v/>
      </c>
      <c r="J138" t="s">
        <v>64</v>
      </c>
      <c r="K138" t="s">
        <v>64</v>
      </c>
      <c r="L138" t="s">
        <v>64</v>
      </c>
      <c r="M138" t="s">
        <v>64</v>
      </c>
      <c r="N138" t="s">
        <v>64</v>
      </c>
    </row>
    <row r="139" spans="4:14">
      <c r="D139" s="36" t="str">
        <f>IF(NOT(AND(ISBLANK(B139),ISBLANK(C139))),IFERROR(IF(ISTEXT(INDEX(#REF!,MATCH(B139,#REF!,0),MATCH(C139,#REF!,0))),HYPERLINK(INDEX(#REF!,MATCH(B139,#REF!,0),MATCH(C139,#REF!,0)),"_YES_"),INDEX(#REF!,MATCH(B139,#REF!,0),MATCH(C139,#REF!,0))),FALSE),"")</f>
        <v/>
      </c>
      <c r="J139" t="s">
        <v>64</v>
      </c>
      <c r="K139" t="s">
        <v>64</v>
      </c>
      <c r="L139" t="s">
        <v>64</v>
      </c>
      <c r="M139" t="s">
        <v>64</v>
      </c>
      <c r="N139" t="s">
        <v>64</v>
      </c>
    </row>
    <row r="140" spans="4:14">
      <c r="D140" s="36" t="str">
        <f>IF(NOT(AND(ISBLANK(B140),ISBLANK(C140))),IFERROR(IF(ISTEXT(INDEX(#REF!,MATCH(B140,#REF!,0),MATCH(C140,#REF!,0))),HYPERLINK(INDEX(#REF!,MATCH(B140,#REF!,0),MATCH(C140,#REF!,0)),"_YES_"),INDEX(#REF!,MATCH(B140,#REF!,0),MATCH(C140,#REF!,0))),FALSE),"")</f>
        <v/>
      </c>
      <c r="J140" t="s">
        <v>64</v>
      </c>
      <c r="K140" t="s">
        <v>64</v>
      </c>
      <c r="L140" t="s">
        <v>64</v>
      </c>
      <c r="M140" t="s">
        <v>64</v>
      </c>
      <c r="N140" t="s">
        <v>64</v>
      </c>
    </row>
    <row r="141" spans="4:14">
      <c r="D141" s="36" t="str">
        <f>IF(NOT(AND(ISBLANK(B141),ISBLANK(C141))),IFERROR(IF(ISTEXT(INDEX(#REF!,MATCH(B141,#REF!,0),MATCH(C141,#REF!,0))),HYPERLINK(INDEX(#REF!,MATCH(B141,#REF!,0),MATCH(C141,#REF!,0)),"_YES_"),INDEX(#REF!,MATCH(B141,#REF!,0),MATCH(C141,#REF!,0))),FALSE),"")</f>
        <v/>
      </c>
      <c r="J141" t="s">
        <v>64</v>
      </c>
      <c r="K141" t="s">
        <v>64</v>
      </c>
      <c r="L141" t="s">
        <v>64</v>
      </c>
      <c r="M141" t="s">
        <v>64</v>
      </c>
      <c r="N141" t="s">
        <v>64</v>
      </c>
    </row>
    <row r="142" spans="4:14">
      <c r="D142" s="36" t="str">
        <f>IF(NOT(AND(ISBLANK(B142),ISBLANK(C142))),IFERROR(IF(ISTEXT(INDEX(#REF!,MATCH(B142,#REF!,0),MATCH(C142,#REF!,0))),HYPERLINK(INDEX(#REF!,MATCH(B142,#REF!,0),MATCH(C142,#REF!,0)),"_YES_"),INDEX(#REF!,MATCH(B142,#REF!,0),MATCH(C142,#REF!,0))),FALSE),"")</f>
        <v/>
      </c>
      <c r="J142" t="s">
        <v>64</v>
      </c>
      <c r="K142" t="s">
        <v>64</v>
      </c>
      <c r="L142" t="s">
        <v>64</v>
      </c>
      <c r="M142" t="s">
        <v>64</v>
      </c>
      <c r="N142" t="s">
        <v>64</v>
      </c>
    </row>
    <row r="143" spans="4:14">
      <c r="D143" s="36" t="str">
        <f>IF(NOT(AND(ISBLANK(B143),ISBLANK(C143))),IFERROR(IF(ISTEXT(INDEX(#REF!,MATCH(B143,#REF!,0),MATCH(C143,#REF!,0))),HYPERLINK(INDEX(#REF!,MATCH(B143,#REF!,0),MATCH(C143,#REF!,0)),"_YES_"),INDEX(#REF!,MATCH(B143,#REF!,0),MATCH(C143,#REF!,0))),FALSE),"")</f>
        <v/>
      </c>
      <c r="J143" t="s">
        <v>64</v>
      </c>
      <c r="K143" t="s">
        <v>64</v>
      </c>
      <c r="L143" t="s">
        <v>64</v>
      </c>
      <c r="M143" t="s">
        <v>64</v>
      </c>
      <c r="N143" t="s">
        <v>64</v>
      </c>
    </row>
    <row r="144" spans="4:14">
      <c r="D144" s="36" t="str">
        <f>IF(NOT(AND(ISBLANK(B144),ISBLANK(C144))),IFERROR(IF(ISTEXT(INDEX(#REF!,MATCH(B144,#REF!,0),MATCH(C144,#REF!,0))),HYPERLINK(INDEX(#REF!,MATCH(B144,#REF!,0),MATCH(C144,#REF!,0)),"_YES_"),INDEX(#REF!,MATCH(B144,#REF!,0),MATCH(C144,#REF!,0))),FALSE),"")</f>
        <v/>
      </c>
      <c r="J144" t="s">
        <v>64</v>
      </c>
      <c r="K144" t="s">
        <v>64</v>
      </c>
      <c r="L144" t="s">
        <v>64</v>
      </c>
      <c r="M144" t="s">
        <v>64</v>
      </c>
      <c r="N144" t="s">
        <v>64</v>
      </c>
    </row>
    <row r="145" spans="4:14">
      <c r="D145" s="36" t="str">
        <f>IF(NOT(AND(ISBLANK(B145),ISBLANK(C145))),IFERROR(IF(ISTEXT(INDEX(#REF!,MATCH(B145,#REF!,0),MATCH(C145,#REF!,0))),HYPERLINK(INDEX(#REF!,MATCH(B145,#REF!,0),MATCH(C145,#REF!,0)),"_YES_"),INDEX(#REF!,MATCH(B145,#REF!,0),MATCH(C145,#REF!,0))),FALSE),"")</f>
        <v/>
      </c>
      <c r="J145" t="s">
        <v>64</v>
      </c>
      <c r="K145" t="s">
        <v>64</v>
      </c>
      <c r="L145" t="s">
        <v>64</v>
      </c>
      <c r="M145" t="s">
        <v>64</v>
      </c>
      <c r="N145" t="s">
        <v>64</v>
      </c>
    </row>
    <row r="146" spans="4:14">
      <c r="D146" s="36" t="str">
        <f>IF(NOT(AND(ISBLANK(B146),ISBLANK(C146))),IFERROR(IF(ISTEXT(INDEX(#REF!,MATCH(B146,#REF!,0),MATCH(C146,#REF!,0))),HYPERLINK(INDEX(#REF!,MATCH(B146,#REF!,0),MATCH(C146,#REF!,0)),"_YES_"),INDEX(#REF!,MATCH(B146,#REF!,0),MATCH(C146,#REF!,0))),FALSE),"")</f>
        <v/>
      </c>
      <c r="J146" t="s">
        <v>64</v>
      </c>
      <c r="K146" t="s">
        <v>64</v>
      </c>
      <c r="L146" t="s">
        <v>64</v>
      </c>
      <c r="M146" t="s">
        <v>64</v>
      </c>
      <c r="N146" t="s">
        <v>64</v>
      </c>
    </row>
    <row r="147" spans="4:14">
      <c r="D147" s="36" t="str">
        <f>IF(NOT(AND(ISBLANK(B147),ISBLANK(C147))),IFERROR(IF(ISTEXT(INDEX(#REF!,MATCH(B147,#REF!,0),MATCH(C147,#REF!,0))),HYPERLINK(INDEX(#REF!,MATCH(B147,#REF!,0),MATCH(C147,#REF!,0)),"_YES_"),INDEX(#REF!,MATCH(B147,#REF!,0),MATCH(C147,#REF!,0))),FALSE),"")</f>
        <v/>
      </c>
      <c r="J147" t="s">
        <v>64</v>
      </c>
      <c r="K147" t="s">
        <v>64</v>
      </c>
      <c r="L147" t="s">
        <v>64</v>
      </c>
      <c r="M147" t="s">
        <v>64</v>
      </c>
      <c r="N147" t="s">
        <v>64</v>
      </c>
    </row>
    <row r="148" spans="4:14">
      <c r="D148" s="36" t="str">
        <f>IF(NOT(AND(ISBLANK(B148),ISBLANK(C148))),IFERROR(IF(ISTEXT(INDEX(#REF!,MATCH(B148,#REF!,0),MATCH(C148,#REF!,0))),HYPERLINK(INDEX(#REF!,MATCH(B148,#REF!,0),MATCH(C148,#REF!,0)),"_YES_"),INDEX(#REF!,MATCH(B148,#REF!,0),MATCH(C148,#REF!,0))),FALSE),"")</f>
        <v/>
      </c>
      <c r="J148" t="s">
        <v>64</v>
      </c>
      <c r="K148" t="s">
        <v>64</v>
      </c>
      <c r="L148" t="s">
        <v>64</v>
      </c>
      <c r="M148" t="s">
        <v>64</v>
      </c>
      <c r="N148" t="s">
        <v>64</v>
      </c>
    </row>
    <row r="149" spans="4:14">
      <c r="D149" s="36" t="str">
        <f>IF(NOT(AND(ISBLANK(B149),ISBLANK(C149))),IFERROR(IF(ISTEXT(INDEX(#REF!,MATCH(B149,#REF!,0),MATCH(C149,#REF!,0))),HYPERLINK(INDEX(#REF!,MATCH(B149,#REF!,0),MATCH(C149,#REF!,0)),"_YES_"),INDEX(#REF!,MATCH(B149,#REF!,0),MATCH(C149,#REF!,0))),FALSE),"")</f>
        <v/>
      </c>
      <c r="J149" t="s">
        <v>64</v>
      </c>
      <c r="K149" t="s">
        <v>64</v>
      </c>
      <c r="L149" t="s">
        <v>64</v>
      </c>
      <c r="M149" t="s">
        <v>64</v>
      </c>
      <c r="N149" t="s">
        <v>64</v>
      </c>
    </row>
    <row r="150" spans="4:14">
      <c r="D150" s="36" t="str">
        <f>IF(NOT(AND(ISBLANK(B150),ISBLANK(C150))),IFERROR(IF(ISTEXT(INDEX(#REF!,MATCH(B150,#REF!,0),MATCH(C150,#REF!,0))),HYPERLINK(INDEX(#REF!,MATCH(B150,#REF!,0),MATCH(C150,#REF!,0)),"_YES_"),INDEX(#REF!,MATCH(B150,#REF!,0),MATCH(C150,#REF!,0))),FALSE),"")</f>
        <v/>
      </c>
      <c r="J150" t="s">
        <v>64</v>
      </c>
      <c r="K150" t="s">
        <v>64</v>
      </c>
      <c r="L150" t="s">
        <v>64</v>
      </c>
      <c r="M150" t="s">
        <v>64</v>
      </c>
      <c r="N150" t="s">
        <v>64</v>
      </c>
    </row>
    <row r="151" spans="4:14">
      <c r="D151" s="36" t="str">
        <f>IF(NOT(AND(ISBLANK(B151),ISBLANK(C151))),IFERROR(IF(ISTEXT(INDEX(#REF!,MATCH(B151,#REF!,0),MATCH(C151,#REF!,0))),HYPERLINK(INDEX(#REF!,MATCH(B151,#REF!,0),MATCH(C151,#REF!,0)),"_YES_"),INDEX(#REF!,MATCH(B151,#REF!,0),MATCH(C151,#REF!,0))),FALSE),"")</f>
        <v/>
      </c>
      <c r="J151" t="s">
        <v>64</v>
      </c>
      <c r="K151" t="s">
        <v>64</v>
      </c>
      <c r="L151" t="s">
        <v>64</v>
      </c>
      <c r="M151" t="s">
        <v>64</v>
      </c>
      <c r="N151" t="s">
        <v>64</v>
      </c>
    </row>
    <row r="152" spans="4:14">
      <c r="D152" s="36" t="str">
        <f>IF(NOT(AND(ISBLANK(B152),ISBLANK(C152))),IFERROR(IF(ISTEXT(INDEX(#REF!,MATCH(B152,#REF!,0),MATCH(C152,#REF!,0))),HYPERLINK(INDEX(#REF!,MATCH(B152,#REF!,0),MATCH(C152,#REF!,0)),"_YES_"),INDEX(#REF!,MATCH(B152,#REF!,0),MATCH(C152,#REF!,0))),FALSE),"")</f>
        <v/>
      </c>
      <c r="J152" t="s">
        <v>64</v>
      </c>
      <c r="K152" t="s">
        <v>64</v>
      </c>
      <c r="L152" t="s">
        <v>64</v>
      </c>
      <c r="M152" t="s">
        <v>64</v>
      </c>
      <c r="N152" t="s">
        <v>64</v>
      </c>
    </row>
    <row r="153" spans="4:14">
      <c r="D153" s="36" t="str">
        <f>IF(NOT(AND(ISBLANK(B153),ISBLANK(C153))),IFERROR(IF(ISTEXT(INDEX(#REF!,MATCH(B153,#REF!,0),MATCH(C153,#REF!,0))),HYPERLINK(INDEX(#REF!,MATCH(B153,#REF!,0),MATCH(C153,#REF!,0)),"_YES_"),INDEX(#REF!,MATCH(B153,#REF!,0),MATCH(C153,#REF!,0))),FALSE),"")</f>
        <v/>
      </c>
      <c r="J153" t="s">
        <v>64</v>
      </c>
      <c r="K153" t="s">
        <v>64</v>
      </c>
      <c r="L153" t="s">
        <v>64</v>
      </c>
      <c r="M153" t="s">
        <v>64</v>
      </c>
      <c r="N153" t="s">
        <v>64</v>
      </c>
    </row>
    <row r="154" spans="4:14">
      <c r="D154" s="36" t="str">
        <f>IF(NOT(AND(ISBLANK(B154),ISBLANK(C154))),IFERROR(IF(ISTEXT(INDEX(#REF!,MATCH(B154,#REF!,0),MATCH(C154,#REF!,0))),HYPERLINK(INDEX(#REF!,MATCH(B154,#REF!,0),MATCH(C154,#REF!,0)),"_YES_"),INDEX(#REF!,MATCH(B154,#REF!,0),MATCH(C154,#REF!,0))),FALSE),"")</f>
        <v/>
      </c>
      <c r="J154" t="s">
        <v>64</v>
      </c>
      <c r="K154" t="s">
        <v>64</v>
      </c>
      <c r="L154" t="s">
        <v>64</v>
      </c>
      <c r="M154" t="s">
        <v>64</v>
      </c>
      <c r="N154" t="s">
        <v>64</v>
      </c>
    </row>
    <row r="155" spans="4:14">
      <c r="D155" s="36" t="str">
        <f>IF(NOT(AND(ISBLANK(B155),ISBLANK(C155))),IFERROR(IF(ISTEXT(INDEX(#REF!,MATCH(B155,#REF!,0),MATCH(C155,#REF!,0))),HYPERLINK(INDEX(#REF!,MATCH(B155,#REF!,0),MATCH(C155,#REF!,0)),"_YES_"),INDEX(#REF!,MATCH(B155,#REF!,0),MATCH(C155,#REF!,0))),FALSE),"")</f>
        <v/>
      </c>
      <c r="J155" t="s">
        <v>64</v>
      </c>
      <c r="K155" t="s">
        <v>64</v>
      </c>
      <c r="L155" t="s">
        <v>64</v>
      </c>
      <c r="M155" t="s">
        <v>64</v>
      </c>
      <c r="N155" t="s">
        <v>64</v>
      </c>
    </row>
    <row r="156" spans="4:14">
      <c r="D156" s="36" t="str">
        <f>IF(NOT(AND(ISBLANK(B156),ISBLANK(C156))),IFERROR(IF(ISTEXT(INDEX(#REF!,MATCH(B156,#REF!,0),MATCH(C156,#REF!,0))),HYPERLINK(INDEX(#REF!,MATCH(B156,#REF!,0),MATCH(C156,#REF!,0)),"_YES_"),INDEX(#REF!,MATCH(B156,#REF!,0),MATCH(C156,#REF!,0))),FALSE),"")</f>
        <v/>
      </c>
      <c r="J156" t="s">
        <v>64</v>
      </c>
      <c r="K156" t="s">
        <v>64</v>
      </c>
      <c r="L156" t="s">
        <v>64</v>
      </c>
      <c r="M156" t="s">
        <v>64</v>
      </c>
      <c r="N156" t="s">
        <v>64</v>
      </c>
    </row>
    <row r="157" spans="4:14">
      <c r="D157" s="36" t="str">
        <f>IF(NOT(AND(ISBLANK(B157),ISBLANK(C157))),IFERROR(IF(ISTEXT(INDEX(#REF!,MATCH(B157,#REF!,0),MATCH(C157,#REF!,0))),HYPERLINK(INDEX(#REF!,MATCH(B157,#REF!,0),MATCH(C157,#REF!,0)),"_YES_"),INDEX(#REF!,MATCH(B157,#REF!,0),MATCH(C157,#REF!,0))),FALSE),"")</f>
        <v/>
      </c>
      <c r="J157" t="s">
        <v>64</v>
      </c>
      <c r="K157" t="s">
        <v>64</v>
      </c>
      <c r="L157" t="s">
        <v>64</v>
      </c>
      <c r="M157" t="s">
        <v>64</v>
      </c>
      <c r="N157" t="s">
        <v>64</v>
      </c>
    </row>
    <row r="158" spans="4:14">
      <c r="D158" s="36" t="str">
        <f>IF(NOT(AND(ISBLANK(B158),ISBLANK(C158))),IFERROR(IF(ISTEXT(INDEX(#REF!,MATCH(B158,#REF!,0),MATCH(C158,#REF!,0))),HYPERLINK(INDEX(#REF!,MATCH(B158,#REF!,0),MATCH(C158,#REF!,0)),"_YES_"),INDEX(#REF!,MATCH(B158,#REF!,0),MATCH(C158,#REF!,0))),FALSE),"")</f>
        <v/>
      </c>
      <c r="J158" t="s">
        <v>64</v>
      </c>
      <c r="K158" t="s">
        <v>64</v>
      </c>
      <c r="L158" t="s">
        <v>64</v>
      </c>
      <c r="M158" t="s">
        <v>64</v>
      </c>
      <c r="N158" t="s">
        <v>64</v>
      </c>
    </row>
    <row r="159" spans="4:14">
      <c r="D159" s="36" t="str">
        <f>IF(NOT(AND(ISBLANK(B159),ISBLANK(C159))),IFERROR(IF(ISTEXT(INDEX(#REF!,MATCH(B159,#REF!,0),MATCH(C159,#REF!,0))),HYPERLINK(INDEX(#REF!,MATCH(B159,#REF!,0),MATCH(C159,#REF!,0)),"_YES_"),INDEX(#REF!,MATCH(B159,#REF!,0),MATCH(C159,#REF!,0))),FALSE),"")</f>
        <v/>
      </c>
      <c r="J159" t="s">
        <v>64</v>
      </c>
      <c r="K159" t="s">
        <v>64</v>
      </c>
      <c r="L159" t="s">
        <v>64</v>
      </c>
      <c r="M159" t="s">
        <v>64</v>
      </c>
      <c r="N159" t="s">
        <v>64</v>
      </c>
    </row>
    <row r="160" spans="4:14">
      <c r="D160" s="36" t="str">
        <f>IF(NOT(AND(ISBLANK(B160),ISBLANK(C160))),IFERROR(IF(ISTEXT(INDEX(#REF!,MATCH(B160,#REF!,0),MATCH(C160,#REF!,0))),HYPERLINK(INDEX(#REF!,MATCH(B160,#REF!,0),MATCH(C160,#REF!,0)),"_YES_"),INDEX(#REF!,MATCH(B160,#REF!,0),MATCH(C160,#REF!,0))),FALSE),"")</f>
        <v/>
      </c>
      <c r="J160" t="s">
        <v>64</v>
      </c>
      <c r="K160" t="s">
        <v>64</v>
      </c>
      <c r="L160" t="s">
        <v>64</v>
      </c>
      <c r="M160" t="s">
        <v>64</v>
      </c>
      <c r="N160" t="s">
        <v>64</v>
      </c>
    </row>
    <row r="161" spans="4:14">
      <c r="D161" s="36" t="str">
        <f>IF(NOT(AND(ISBLANK(B161),ISBLANK(C161))),IFERROR(IF(ISTEXT(INDEX(#REF!,MATCH(B161,#REF!,0),MATCH(C161,#REF!,0))),HYPERLINK(INDEX(#REF!,MATCH(B161,#REF!,0),MATCH(C161,#REF!,0)),"_YES_"),INDEX(#REF!,MATCH(B161,#REF!,0),MATCH(C161,#REF!,0))),FALSE),"")</f>
        <v/>
      </c>
      <c r="J161" t="s">
        <v>64</v>
      </c>
      <c r="K161" t="s">
        <v>64</v>
      </c>
      <c r="L161" t="s">
        <v>64</v>
      </c>
      <c r="M161" t="s">
        <v>64</v>
      </c>
      <c r="N161" t="s">
        <v>64</v>
      </c>
    </row>
    <row r="162" spans="4:14">
      <c r="D162" s="36" t="str">
        <f>IF(NOT(AND(ISBLANK(B162),ISBLANK(C162))),IFERROR(IF(ISTEXT(INDEX(#REF!,MATCH(B162,#REF!,0),MATCH(C162,#REF!,0))),HYPERLINK(INDEX(#REF!,MATCH(B162,#REF!,0),MATCH(C162,#REF!,0)),"_YES_"),INDEX(#REF!,MATCH(B162,#REF!,0),MATCH(C162,#REF!,0))),FALSE),"")</f>
        <v/>
      </c>
      <c r="J162" t="s">
        <v>64</v>
      </c>
      <c r="K162" t="s">
        <v>64</v>
      </c>
      <c r="L162" t="s">
        <v>64</v>
      </c>
      <c r="M162" t="s">
        <v>64</v>
      </c>
      <c r="N162" t="s">
        <v>64</v>
      </c>
    </row>
    <row r="163" spans="4:14">
      <c r="D163" s="36" t="str">
        <f>IF(NOT(AND(ISBLANK(B163),ISBLANK(C163))),IFERROR(IF(ISTEXT(INDEX(#REF!,MATCH(B163,#REF!,0),MATCH(C163,#REF!,0))),HYPERLINK(INDEX(#REF!,MATCH(B163,#REF!,0),MATCH(C163,#REF!,0)),"_YES_"),INDEX(#REF!,MATCH(B163,#REF!,0),MATCH(C163,#REF!,0))),FALSE),"")</f>
        <v/>
      </c>
      <c r="J163" t="s">
        <v>64</v>
      </c>
      <c r="K163" t="s">
        <v>64</v>
      </c>
      <c r="L163" t="s">
        <v>64</v>
      </c>
      <c r="M163" t="s">
        <v>64</v>
      </c>
      <c r="N163" t="s">
        <v>64</v>
      </c>
    </row>
    <row r="164" spans="4:14">
      <c r="D164" s="36" t="str">
        <f>IF(NOT(AND(ISBLANK(B164),ISBLANK(C164))),IFERROR(IF(ISTEXT(INDEX(#REF!,MATCH(B164,#REF!,0),MATCH(C164,#REF!,0))),HYPERLINK(INDEX(#REF!,MATCH(B164,#REF!,0),MATCH(C164,#REF!,0)),"_YES_"),INDEX(#REF!,MATCH(B164,#REF!,0),MATCH(C164,#REF!,0))),FALSE),"")</f>
        <v/>
      </c>
      <c r="J164" t="s">
        <v>64</v>
      </c>
      <c r="K164" t="s">
        <v>64</v>
      </c>
      <c r="L164" t="s">
        <v>64</v>
      </c>
      <c r="M164" t="s">
        <v>64</v>
      </c>
      <c r="N164" t="s">
        <v>64</v>
      </c>
    </row>
    <row r="165" spans="4:14">
      <c r="D165" s="36" t="str">
        <f>IF(NOT(AND(ISBLANK(B165),ISBLANK(C165))),IFERROR(IF(ISTEXT(INDEX(#REF!,MATCH(B165,#REF!,0),MATCH(C165,#REF!,0))),HYPERLINK(INDEX(#REF!,MATCH(B165,#REF!,0),MATCH(C165,#REF!,0)),"_YES_"),INDEX(#REF!,MATCH(B165,#REF!,0),MATCH(C165,#REF!,0))),FALSE),"")</f>
        <v/>
      </c>
      <c r="J165" t="s">
        <v>64</v>
      </c>
      <c r="K165" t="s">
        <v>64</v>
      </c>
      <c r="L165" t="s">
        <v>64</v>
      </c>
      <c r="M165" t="s">
        <v>64</v>
      </c>
      <c r="N165" t="s">
        <v>64</v>
      </c>
    </row>
    <row r="166" spans="4:14">
      <c r="D166" s="36" t="str">
        <f>IF(NOT(AND(ISBLANK(B166),ISBLANK(C166))),IFERROR(IF(ISTEXT(INDEX(#REF!,MATCH(B166,#REF!,0),MATCH(C166,#REF!,0))),HYPERLINK(INDEX(#REF!,MATCH(B166,#REF!,0),MATCH(C166,#REF!,0)),"_YES_"),INDEX(#REF!,MATCH(B166,#REF!,0),MATCH(C166,#REF!,0))),FALSE),"")</f>
        <v/>
      </c>
      <c r="J166" t="s">
        <v>64</v>
      </c>
      <c r="K166" t="s">
        <v>64</v>
      </c>
      <c r="L166" t="s">
        <v>64</v>
      </c>
      <c r="M166" t="s">
        <v>64</v>
      </c>
      <c r="N166" t="s">
        <v>64</v>
      </c>
    </row>
    <row r="167" spans="4:14">
      <c r="D167" s="36" t="str">
        <f>IF(NOT(AND(ISBLANK(B167),ISBLANK(C167))),IFERROR(IF(ISTEXT(INDEX(#REF!,MATCH(B167,#REF!,0),MATCH(C167,#REF!,0))),HYPERLINK(INDEX(#REF!,MATCH(B167,#REF!,0),MATCH(C167,#REF!,0)),"_YES_"),INDEX(#REF!,MATCH(B167,#REF!,0),MATCH(C167,#REF!,0))),FALSE),"")</f>
        <v/>
      </c>
      <c r="J167" t="s">
        <v>64</v>
      </c>
      <c r="K167" t="s">
        <v>64</v>
      </c>
      <c r="L167" t="s">
        <v>64</v>
      </c>
      <c r="M167" t="s">
        <v>64</v>
      </c>
      <c r="N167" t="s">
        <v>64</v>
      </c>
    </row>
    <row r="168" spans="4:14">
      <c r="D168" s="36" t="str">
        <f>IF(NOT(AND(ISBLANK(B168),ISBLANK(C168))),IFERROR(IF(ISTEXT(INDEX(#REF!,MATCH(B168,#REF!,0),MATCH(C168,#REF!,0))),HYPERLINK(INDEX(#REF!,MATCH(B168,#REF!,0),MATCH(C168,#REF!,0)),"_YES_"),INDEX(#REF!,MATCH(B168,#REF!,0),MATCH(C168,#REF!,0))),FALSE),"")</f>
        <v/>
      </c>
      <c r="J168" t="s">
        <v>64</v>
      </c>
      <c r="K168" t="s">
        <v>64</v>
      </c>
      <c r="L168" t="s">
        <v>64</v>
      </c>
      <c r="M168" t="s">
        <v>64</v>
      </c>
      <c r="N168" t="s">
        <v>64</v>
      </c>
    </row>
    <row r="169" spans="4:14">
      <c r="D169" s="36" t="str">
        <f>IF(NOT(AND(ISBLANK(B169),ISBLANK(C169))),IFERROR(IF(ISTEXT(INDEX(#REF!,MATCH(B169,#REF!,0),MATCH(C169,#REF!,0))),HYPERLINK(INDEX(#REF!,MATCH(B169,#REF!,0),MATCH(C169,#REF!,0)),"_YES_"),INDEX(#REF!,MATCH(B169,#REF!,0),MATCH(C169,#REF!,0))),FALSE),"")</f>
        <v/>
      </c>
      <c r="J169" t="s">
        <v>64</v>
      </c>
      <c r="K169" t="s">
        <v>64</v>
      </c>
      <c r="L169" t="s">
        <v>64</v>
      </c>
      <c r="M169" t="s">
        <v>64</v>
      </c>
      <c r="N169" t="s">
        <v>64</v>
      </c>
    </row>
    <row r="170" spans="4:14">
      <c r="D170" s="36" t="str">
        <f>IF(NOT(AND(ISBLANK(B170),ISBLANK(C170))),IFERROR(IF(ISTEXT(INDEX(#REF!,MATCH(B170,#REF!,0),MATCH(C170,#REF!,0))),HYPERLINK(INDEX(#REF!,MATCH(B170,#REF!,0),MATCH(C170,#REF!,0)),"_YES_"),INDEX(#REF!,MATCH(B170,#REF!,0),MATCH(C170,#REF!,0))),FALSE),"")</f>
        <v/>
      </c>
      <c r="J170" t="s">
        <v>64</v>
      </c>
      <c r="K170" t="s">
        <v>64</v>
      </c>
      <c r="L170" t="s">
        <v>64</v>
      </c>
      <c r="M170" t="s">
        <v>64</v>
      </c>
      <c r="N170" t="s">
        <v>64</v>
      </c>
    </row>
    <row r="171" spans="4:14">
      <c r="D171" s="36" t="str">
        <f>IF(NOT(AND(ISBLANK(B171),ISBLANK(C171))),IFERROR(IF(ISTEXT(INDEX(#REF!,MATCH(B171,#REF!,0),MATCH(C171,#REF!,0))),HYPERLINK(INDEX(#REF!,MATCH(B171,#REF!,0),MATCH(C171,#REF!,0)),"_YES_"),INDEX(#REF!,MATCH(B171,#REF!,0),MATCH(C171,#REF!,0))),FALSE),"")</f>
        <v/>
      </c>
      <c r="J171" t="s">
        <v>64</v>
      </c>
      <c r="K171" t="s">
        <v>64</v>
      </c>
      <c r="L171" t="s">
        <v>64</v>
      </c>
      <c r="M171" t="s">
        <v>64</v>
      </c>
      <c r="N171" t="s">
        <v>64</v>
      </c>
    </row>
    <row r="172" spans="4:14">
      <c r="D172" s="36" t="str">
        <f>IF(NOT(AND(ISBLANK(B172),ISBLANK(C172))),IFERROR(IF(ISTEXT(INDEX(#REF!,MATCH(B172,#REF!,0),MATCH(C172,#REF!,0))),HYPERLINK(INDEX(#REF!,MATCH(B172,#REF!,0),MATCH(C172,#REF!,0)),"_YES_"),INDEX(#REF!,MATCH(B172,#REF!,0),MATCH(C172,#REF!,0))),FALSE),"")</f>
        <v/>
      </c>
      <c r="J172" t="s">
        <v>64</v>
      </c>
      <c r="K172" t="s">
        <v>64</v>
      </c>
      <c r="L172" t="s">
        <v>64</v>
      </c>
      <c r="M172" t="s">
        <v>64</v>
      </c>
      <c r="N172" t="s">
        <v>64</v>
      </c>
    </row>
    <row r="173" spans="4:14">
      <c r="D173" s="36" t="str">
        <f>IF(NOT(AND(ISBLANK(B173),ISBLANK(C173))),IFERROR(IF(ISTEXT(INDEX(#REF!,MATCH(B173,#REF!,0),MATCH(C173,#REF!,0))),HYPERLINK(INDEX(#REF!,MATCH(B173,#REF!,0),MATCH(C173,#REF!,0)),"_YES_"),INDEX(#REF!,MATCH(B173,#REF!,0),MATCH(C173,#REF!,0))),FALSE),"")</f>
        <v/>
      </c>
      <c r="J173" t="s">
        <v>64</v>
      </c>
      <c r="K173" t="s">
        <v>64</v>
      </c>
      <c r="L173" t="s">
        <v>64</v>
      </c>
      <c r="M173" t="s">
        <v>64</v>
      </c>
      <c r="N173" t="s">
        <v>64</v>
      </c>
    </row>
    <row r="174" spans="4:14">
      <c r="D174" s="36" t="str">
        <f>IF(NOT(AND(ISBLANK(B174),ISBLANK(C174))),IFERROR(IF(ISTEXT(INDEX(#REF!,MATCH(B174,#REF!,0),MATCH(C174,#REF!,0))),HYPERLINK(INDEX(#REF!,MATCH(B174,#REF!,0),MATCH(C174,#REF!,0)),"_YES_"),INDEX(#REF!,MATCH(B174,#REF!,0),MATCH(C174,#REF!,0))),FALSE),"")</f>
        <v/>
      </c>
      <c r="J174" t="s">
        <v>64</v>
      </c>
      <c r="K174" t="s">
        <v>64</v>
      </c>
      <c r="L174" t="s">
        <v>64</v>
      </c>
      <c r="M174" t="s">
        <v>64</v>
      </c>
      <c r="N174" t="s">
        <v>64</v>
      </c>
    </row>
    <row r="175" spans="4:14">
      <c r="D175" s="36" t="str">
        <f>IF(NOT(AND(ISBLANK(B175),ISBLANK(C175))),IFERROR(IF(ISTEXT(INDEX(#REF!,MATCH(B175,#REF!,0),MATCH(C175,#REF!,0))),HYPERLINK(INDEX(#REF!,MATCH(B175,#REF!,0),MATCH(C175,#REF!,0)),"_YES_"),INDEX(#REF!,MATCH(B175,#REF!,0),MATCH(C175,#REF!,0))),FALSE),"")</f>
        <v/>
      </c>
      <c r="J175" t="s">
        <v>64</v>
      </c>
      <c r="K175" t="s">
        <v>64</v>
      </c>
      <c r="L175" t="s">
        <v>64</v>
      </c>
      <c r="M175" t="s">
        <v>64</v>
      </c>
      <c r="N175" t="s">
        <v>64</v>
      </c>
    </row>
    <row r="176" spans="4:14">
      <c r="D176" s="36" t="str">
        <f>IF(NOT(AND(ISBLANK(B176),ISBLANK(C176))),IFERROR(IF(ISTEXT(INDEX(#REF!,MATCH(B176,#REF!,0),MATCH(C176,#REF!,0))),HYPERLINK(INDEX(#REF!,MATCH(B176,#REF!,0),MATCH(C176,#REF!,0)),"_YES_"),INDEX(#REF!,MATCH(B176,#REF!,0),MATCH(C176,#REF!,0))),FALSE),"")</f>
        <v/>
      </c>
      <c r="J176" t="s">
        <v>64</v>
      </c>
      <c r="K176" t="s">
        <v>64</v>
      </c>
      <c r="L176" t="s">
        <v>64</v>
      </c>
      <c r="M176" t="s">
        <v>64</v>
      </c>
      <c r="N176" t="s">
        <v>64</v>
      </c>
    </row>
    <row r="177" spans="4:14">
      <c r="D177" s="36" t="str">
        <f>IF(NOT(AND(ISBLANK(B177),ISBLANK(C177))),IFERROR(IF(ISTEXT(INDEX(#REF!,MATCH(B177,#REF!,0),MATCH(C177,#REF!,0))),HYPERLINK(INDEX(#REF!,MATCH(B177,#REF!,0),MATCH(C177,#REF!,0)),"_YES_"),INDEX(#REF!,MATCH(B177,#REF!,0),MATCH(C177,#REF!,0))),FALSE),"")</f>
        <v/>
      </c>
      <c r="J177" t="s">
        <v>64</v>
      </c>
      <c r="K177" t="s">
        <v>64</v>
      </c>
      <c r="L177" t="s">
        <v>64</v>
      </c>
      <c r="M177" t="s">
        <v>64</v>
      </c>
      <c r="N177" t="s">
        <v>64</v>
      </c>
    </row>
    <row r="178" spans="4:14">
      <c r="D178" s="36" t="str">
        <f>IF(NOT(AND(ISBLANK(B178),ISBLANK(C178))),IFERROR(IF(ISTEXT(INDEX(#REF!,MATCH(B178,#REF!,0),MATCH(C178,#REF!,0))),HYPERLINK(INDEX(#REF!,MATCH(B178,#REF!,0),MATCH(C178,#REF!,0)),"_YES_"),INDEX(#REF!,MATCH(B178,#REF!,0),MATCH(C178,#REF!,0))),FALSE),"")</f>
        <v/>
      </c>
      <c r="J178" t="s">
        <v>64</v>
      </c>
      <c r="K178" t="s">
        <v>64</v>
      </c>
      <c r="L178" t="s">
        <v>64</v>
      </c>
      <c r="M178" t="s">
        <v>64</v>
      </c>
      <c r="N178" t="s">
        <v>64</v>
      </c>
    </row>
    <row r="179" spans="4:14">
      <c r="D179" s="36" t="str">
        <f>IF(NOT(AND(ISBLANK(B179),ISBLANK(C179))),IFERROR(IF(ISTEXT(INDEX(#REF!,MATCH(B179,#REF!,0),MATCH(C179,#REF!,0))),HYPERLINK(INDEX(#REF!,MATCH(B179,#REF!,0),MATCH(C179,#REF!,0)),"_YES_"),INDEX(#REF!,MATCH(B179,#REF!,0),MATCH(C179,#REF!,0))),FALSE),"")</f>
        <v/>
      </c>
      <c r="J179" t="s">
        <v>64</v>
      </c>
      <c r="K179" t="s">
        <v>64</v>
      </c>
      <c r="L179" t="s">
        <v>64</v>
      </c>
      <c r="M179" t="s">
        <v>64</v>
      </c>
      <c r="N179" t="s">
        <v>64</v>
      </c>
    </row>
    <row r="180" spans="4:14">
      <c r="D180" s="36" t="str">
        <f>IF(NOT(AND(ISBLANK(B180),ISBLANK(C180))),IFERROR(IF(ISTEXT(INDEX(#REF!,MATCH(B180,#REF!,0),MATCH(C180,#REF!,0))),HYPERLINK(INDEX(#REF!,MATCH(B180,#REF!,0),MATCH(C180,#REF!,0)),"_YES_"),INDEX(#REF!,MATCH(B180,#REF!,0),MATCH(C180,#REF!,0))),FALSE),"")</f>
        <v/>
      </c>
      <c r="J180" t="s">
        <v>64</v>
      </c>
      <c r="K180" t="s">
        <v>64</v>
      </c>
      <c r="L180" t="s">
        <v>64</v>
      </c>
      <c r="M180" t="s">
        <v>64</v>
      </c>
      <c r="N180" t="s">
        <v>64</v>
      </c>
    </row>
    <row r="181" spans="4:14">
      <c r="D181" s="36" t="str">
        <f>IF(NOT(AND(ISBLANK(B181),ISBLANK(C181))),IFERROR(IF(ISTEXT(INDEX(#REF!,MATCH(B181,#REF!,0),MATCH(C181,#REF!,0))),HYPERLINK(INDEX(#REF!,MATCH(B181,#REF!,0),MATCH(C181,#REF!,0)),"_YES_"),INDEX(#REF!,MATCH(B181,#REF!,0),MATCH(C181,#REF!,0))),FALSE),"")</f>
        <v/>
      </c>
      <c r="J181" t="s">
        <v>64</v>
      </c>
      <c r="K181" t="s">
        <v>64</v>
      </c>
      <c r="L181" t="s">
        <v>64</v>
      </c>
      <c r="M181" t="s">
        <v>64</v>
      </c>
      <c r="N181" t="s">
        <v>64</v>
      </c>
    </row>
    <row r="182" spans="4:14">
      <c r="D182" s="36" t="str">
        <f>IF(NOT(AND(ISBLANK(B182),ISBLANK(C182))),IFERROR(IF(ISTEXT(INDEX(#REF!,MATCH(B182,#REF!,0),MATCH(C182,#REF!,0))),HYPERLINK(INDEX(#REF!,MATCH(B182,#REF!,0),MATCH(C182,#REF!,0)),"_YES_"),INDEX(#REF!,MATCH(B182,#REF!,0),MATCH(C182,#REF!,0))),FALSE),"")</f>
        <v/>
      </c>
      <c r="J182" t="s">
        <v>64</v>
      </c>
      <c r="K182" t="s">
        <v>64</v>
      </c>
      <c r="L182" t="s">
        <v>64</v>
      </c>
      <c r="M182" t="s">
        <v>64</v>
      </c>
      <c r="N182" t="s">
        <v>64</v>
      </c>
    </row>
    <row r="183" spans="4:14">
      <c r="D183" s="36" t="str">
        <f>IF(NOT(AND(ISBLANK(B183),ISBLANK(C183))),IFERROR(IF(ISTEXT(INDEX(#REF!,MATCH(B183,#REF!,0),MATCH(C183,#REF!,0))),HYPERLINK(INDEX(#REF!,MATCH(B183,#REF!,0),MATCH(C183,#REF!,0)),"_YES_"),INDEX(#REF!,MATCH(B183,#REF!,0),MATCH(C183,#REF!,0))),FALSE),"")</f>
        <v/>
      </c>
      <c r="J183" t="s">
        <v>64</v>
      </c>
      <c r="K183" t="s">
        <v>64</v>
      </c>
      <c r="L183" t="s">
        <v>64</v>
      </c>
      <c r="M183" t="s">
        <v>64</v>
      </c>
      <c r="N183" t="s">
        <v>64</v>
      </c>
    </row>
    <row r="184" spans="4:14">
      <c r="D184" s="36" t="str">
        <f>IF(NOT(AND(ISBLANK(B184),ISBLANK(C184))),IFERROR(IF(ISTEXT(INDEX(#REF!,MATCH(B184,#REF!,0),MATCH(C184,#REF!,0))),HYPERLINK(INDEX(#REF!,MATCH(B184,#REF!,0),MATCH(C184,#REF!,0)),"_YES_"),INDEX(#REF!,MATCH(B184,#REF!,0),MATCH(C184,#REF!,0))),FALSE),"")</f>
        <v/>
      </c>
      <c r="J184" t="s">
        <v>64</v>
      </c>
      <c r="K184" t="s">
        <v>64</v>
      </c>
      <c r="L184" t="s">
        <v>64</v>
      </c>
      <c r="M184" t="s">
        <v>64</v>
      </c>
      <c r="N184" t="s">
        <v>64</v>
      </c>
    </row>
    <row r="185" spans="4:14">
      <c r="D185" s="36" t="str">
        <f>IF(NOT(AND(ISBLANK(B185),ISBLANK(C185))),IFERROR(IF(ISTEXT(INDEX(#REF!,MATCH(B185,#REF!,0),MATCH(C185,#REF!,0))),HYPERLINK(INDEX(#REF!,MATCH(B185,#REF!,0),MATCH(C185,#REF!,0)),"_YES_"),INDEX(#REF!,MATCH(B185,#REF!,0),MATCH(C185,#REF!,0))),FALSE),"")</f>
        <v/>
      </c>
      <c r="J185" t="s">
        <v>64</v>
      </c>
      <c r="K185" t="s">
        <v>64</v>
      </c>
      <c r="L185" t="s">
        <v>64</v>
      </c>
      <c r="M185" t="s">
        <v>64</v>
      </c>
      <c r="N185" t="s">
        <v>64</v>
      </c>
    </row>
    <row r="186" spans="4:14">
      <c r="D186" s="36" t="str">
        <f>IF(NOT(AND(ISBLANK(B186),ISBLANK(C186))),IFERROR(IF(ISTEXT(INDEX(#REF!,MATCH(B186,#REF!,0),MATCH(C186,#REF!,0))),HYPERLINK(INDEX(#REF!,MATCH(B186,#REF!,0),MATCH(C186,#REF!,0)),"_YES_"),INDEX(#REF!,MATCH(B186,#REF!,0),MATCH(C186,#REF!,0))),FALSE),"")</f>
        <v/>
      </c>
      <c r="J186" t="s">
        <v>64</v>
      </c>
      <c r="K186" t="s">
        <v>64</v>
      </c>
      <c r="L186" t="s">
        <v>64</v>
      </c>
      <c r="M186" t="s">
        <v>64</v>
      </c>
      <c r="N186" t="s">
        <v>64</v>
      </c>
    </row>
    <row r="187" spans="4:14">
      <c r="D187" s="36" t="str">
        <f>IF(NOT(AND(ISBLANK(B187),ISBLANK(C187))),IFERROR(IF(ISTEXT(INDEX(#REF!,MATCH(B187,#REF!,0),MATCH(C187,#REF!,0))),HYPERLINK(INDEX(#REF!,MATCH(B187,#REF!,0),MATCH(C187,#REF!,0)),"_YES_"),INDEX(#REF!,MATCH(B187,#REF!,0),MATCH(C187,#REF!,0))),FALSE),"")</f>
        <v/>
      </c>
      <c r="J187" t="s">
        <v>64</v>
      </c>
      <c r="K187" t="s">
        <v>64</v>
      </c>
      <c r="L187" t="s">
        <v>64</v>
      </c>
      <c r="M187" t="s">
        <v>64</v>
      </c>
      <c r="N187" t="s">
        <v>64</v>
      </c>
    </row>
    <row r="188" spans="4:14">
      <c r="D188" s="36" t="str">
        <f>IF(NOT(AND(ISBLANK(B188),ISBLANK(C188))),IFERROR(IF(ISTEXT(INDEX(#REF!,MATCH(B188,#REF!,0),MATCH(C188,#REF!,0))),HYPERLINK(INDEX(#REF!,MATCH(B188,#REF!,0),MATCH(C188,#REF!,0)),"_YES_"),INDEX(#REF!,MATCH(B188,#REF!,0),MATCH(C188,#REF!,0))),FALSE),"")</f>
        <v/>
      </c>
      <c r="J188" t="s">
        <v>64</v>
      </c>
      <c r="K188" t="s">
        <v>64</v>
      </c>
      <c r="L188" t="s">
        <v>64</v>
      </c>
      <c r="M188" t="s">
        <v>64</v>
      </c>
      <c r="N188" t="s">
        <v>64</v>
      </c>
    </row>
    <row r="189" spans="4:14">
      <c r="D189" s="36" t="str">
        <f>IF(NOT(AND(ISBLANK(B189),ISBLANK(C189))),IFERROR(IF(ISTEXT(INDEX(#REF!,MATCH(B189,#REF!,0),MATCH(C189,#REF!,0))),HYPERLINK(INDEX(#REF!,MATCH(B189,#REF!,0),MATCH(C189,#REF!,0)),"_YES_"),INDEX(#REF!,MATCH(B189,#REF!,0),MATCH(C189,#REF!,0))),FALSE),"")</f>
        <v/>
      </c>
      <c r="J189" t="s">
        <v>64</v>
      </c>
      <c r="K189" t="s">
        <v>64</v>
      </c>
      <c r="L189" t="s">
        <v>64</v>
      </c>
      <c r="M189" t="s">
        <v>64</v>
      </c>
      <c r="N189" t="s">
        <v>64</v>
      </c>
    </row>
    <row r="190" spans="4:14">
      <c r="D190" s="36" t="str">
        <f>IF(NOT(AND(ISBLANK(B190),ISBLANK(C190))),IFERROR(IF(ISTEXT(INDEX(#REF!,MATCH(B190,#REF!,0),MATCH(C190,#REF!,0))),HYPERLINK(INDEX(#REF!,MATCH(B190,#REF!,0),MATCH(C190,#REF!,0)),"_YES_"),INDEX(#REF!,MATCH(B190,#REF!,0),MATCH(C190,#REF!,0))),FALSE),"")</f>
        <v/>
      </c>
      <c r="J190" t="s">
        <v>64</v>
      </c>
      <c r="K190" t="s">
        <v>64</v>
      </c>
      <c r="L190" t="s">
        <v>64</v>
      </c>
      <c r="M190" t="s">
        <v>64</v>
      </c>
      <c r="N190" t="s">
        <v>64</v>
      </c>
    </row>
    <row r="191" spans="4:14">
      <c r="D191" s="36" t="str">
        <f>IF(NOT(AND(ISBLANK(B191),ISBLANK(C191))),IFERROR(IF(ISTEXT(INDEX(#REF!,MATCH(B191,#REF!,0),MATCH(C191,#REF!,0))),HYPERLINK(INDEX(#REF!,MATCH(B191,#REF!,0),MATCH(C191,#REF!,0)),"_YES_"),INDEX(#REF!,MATCH(B191,#REF!,0),MATCH(C191,#REF!,0))),FALSE),"")</f>
        <v/>
      </c>
      <c r="J191" t="s">
        <v>64</v>
      </c>
      <c r="K191" t="s">
        <v>64</v>
      </c>
      <c r="L191" t="s">
        <v>64</v>
      </c>
      <c r="M191" t="s">
        <v>64</v>
      </c>
      <c r="N191" t="s">
        <v>64</v>
      </c>
    </row>
    <row r="192" spans="4:14">
      <c r="D192" s="36" t="str">
        <f>IF(NOT(AND(ISBLANK(B192),ISBLANK(C192))),IFERROR(IF(ISTEXT(INDEX(#REF!,MATCH(B192,#REF!,0),MATCH(C192,#REF!,0))),HYPERLINK(INDEX(#REF!,MATCH(B192,#REF!,0),MATCH(C192,#REF!,0)),"_YES_"),INDEX(#REF!,MATCH(B192,#REF!,0),MATCH(C192,#REF!,0))),FALSE),"")</f>
        <v/>
      </c>
      <c r="J192" t="s">
        <v>64</v>
      </c>
      <c r="K192" t="s">
        <v>64</v>
      </c>
      <c r="L192" t="s">
        <v>64</v>
      </c>
      <c r="M192" t="s">
        <v>64</v>
      </c>
      <c r="N192" t="s">
        <v>64</v>
      </c>
    </row>
    <row r="193" spans="4:14">
      <c r="D193" s="36" t="str">
        <f>IF(NOT(AND(ISBLANK(B193),ISBLANK(C193))),IFERROR(IF(ISTEXT(INDEX(#REF!,MATCH(B193,#REF!,0),MATCH(C193,#REF!,0))),HYPERLINK(INDEX(#REF!,MATCH(B193,#REF!,0),MATCH(C193,#REF!,0)),"_YES_"),INDEX(#REF!,MATCH(B193,#REF!,0),MATCH(C193,#REF!,0))),FALSE),"")</f>
        <v/>
      </c>
      <c r="J193" t="s">
        <v>64</v>
      </c>
      <c r="K193" t="s">
        <v>64</v>
      </c>
      <c r="L193" t="s">
        <v>64</v>
      </c>
      <c r="M193" t="s">
        <v>64</v>
      </c>
      <c r="N193" t="s">
        <v>64</v>
      </c>
    </row>
    <row r="194" spans="4:14">
      <c r="D194" s="36" t="str">
        <f>IF(NOT(AND(ISBLANK(B194),ISBLANK(C194))),IFERROR(IF(ISTEXT(INDEX(#REF!,MATCH(B194,#REF!,0),MATCH(C194,#REF!,0))),HYPERLINK(INDEX(#REF!,MATCH(B194,#REF!,0),MATCH(C194,#REF!,0)),"_YES_"),INDEX(#REF!,MATCH(B194,#REF!,0),MATCH(C194,#REF!,0))),FALSE),"")</f>
        <v/>
      </c>
      <c r="J194" t="s">
        <v>64</v>
      </c>
      <c r="K194" t="s">
        <v>64</v>
      </c>
      <c r="L194" t="s">
        <v>64</v>
      </c>
      <c r="M194" t="s">
        <v>64</v>
      </c>
      <c r="N194" t="s">
        <v>64</v>
      </c>
    </row>
    <row r="195" spans="4:14">
      <c r="D195" s="36" t="str">
        <f>IF(NOT(AND(ISBLANK(B195),ISBLANK(C195))),IFERROR(IF(ISTEXT(INDEX(#REF!,MATCH(B195,#REF!,0),MATCH(C195,#REF!,0))),HYPERLINK(INDEX(#REF!,MATCH(B195,#REF!,0),MATCH(C195,#REF!,0)),"_YES_"),INDEX(#REF!,MATCH(B195,#REF!,0),MATCH(C195,#REF!,0))),FALSE),"")</f>
        <v/>
      </c>
      <c r="J195" t="s">
        <v>64</v>
      </c>
      <c r="K195" t="s">
        <v>64</v>
      </c>
      <c r="L195" t="s">
        <v>64</v>
      </c>
      <c r="M195" t="s">
        <v>64</v>
      </c>
      <c r="N195" t="s">
        <v>64</v>
      </c>
    </row>
    <row r="196" spans="4:14">
      <c r="D196" s="36" t="str">
        <f>IF(NOT(AND(ISBLANK(B196),ISBLANK(C196))),IFERROR(IF(ISTEXT(INDEX(#REF!,MATCH(B196,#REF!,0),MATCH(C196,#REF!,0))),HYPERLINK(INDEX(#REF!,MATCH(B196,#REF!,0),MATCH(C196,#REF!,0)),"_YES_"),INDEX(#REF!,MATCH(B196,#REF!,0),MATCH(C196,#REF!,0))),FALSE),"")</f>
        <v/>
      </c>
      <c r="J196" t="s">
        <v>64</v>
      </c>
      <c r="K196" t="s">
        <v>64</v>
      </c>
      <c r="L196" t="s">
        <v>64</v>
      </c>
      <c r="M196" t="s">
        <v>64</v>
      </c>
      <c r="N196" t="s">
        <v>64</v>
      </c>
    </row>
    <row r="197" spans="4:14">
      <c r="D197" s="36" t="str">
        <f>IF(NOT(AND(ISBLANK(B197),ISBLANK(C197))),IFERROR(IF(ISTEXT(INDEX(#REF!,MATCH(B197,#REF!,0),MATCH(C197,#REF!,0))),HYPERLINK(INDEX(#REF!,MATCH(B197,#REF!,0),MATCH(C197,#REF!,0)),"_YES_"),INDEX(#REF!,MATCH(B197,#REF!,0),MATCH(C197,#REF!,0))),FALSE),"")</f>
        <v/>
      </c>
      <c r="J197" t="s">
        <v>64</v>
      </c>
      <c r="K197" t="s">
        <v>64</v>
      </c>
      <c r="L197" t="s">
        <v>64</v>
      </c>
      <c r="M197" t="s">
        <v>64</v>
      </c>
      <c r="N197" t="s">
        <v>64</v>
      </c>
    </row>
    <row r="198" spans="4:14">
      <c r="D198" s="36" t="str">
        <f>IF(NOT(AND(ISBLANK(B198),ISBLANK(C198))),IFERROR(IF(ISTEXT(INDEX(#REF!,MATCH(B198,#REF!,0),MATCH(C198,#REF!,0))),HYPERLINK(INDEX(#REF!,MATCH(B198,#REF!,0),MATCH(C198,#REF!,0)),"_YES_"),INDEX(#REF!,MATCH(B198,#REF!,0),MATCH(C198,#REF!,0))),FALSE),"")</f>
        <v/>
      </c>
      <c r="J198" t="s">
        <v>64</v>
      </c>
      <c r="K198" t="s">
        <v>64</v>
      </c>
      <c r="L198" t="s">
        <v>64</v>
      </c>
      <c r="M198" t="s">
        <v>64</v>
      </c>
      <c r="N198" t="s">
        <v>64</v>
      </c>
    </row>
    <row r="199" spans="4:14">
      <c r="D199" s="36" t="str">
        <f>IF(NOT(AND(ISBLANK(B199),ISBLANK(C199))),IFERROR(IF(ISTEXT(INDEX(#REF!,MATCH(B199,#REF!,0),MATCH(C199,#REF!,0))),HYPERLINK(INDEX(#REF!,MATCH(B199,#REF!,0),MATCH(C199,#REF!,0)),"_YES_"),INDEX(#REF!,MATCH(B199,#REF!,0),MATCH(C199,#REF!,0))),FALSE),"")</f>
        <v/>
      </c>
      <c r="J199" t="s">
        <v>64</v>
      </c>
      <c r="K199" t="s">
        <v>64</v>
      </c>
      <c r="L199" t="s">
        <v>64</v>
      </c>
      <c r="M199" t="s">
        <v>64</v>
      </c>
      <c r="N199" t="s">
        <v>64</v>
      </c>
    </row>
    <row r="200" spans="4:14">
      <c r="D200" s="36" t="str">
        <f>IF(NOT(AND(ISBLANK(B200),ISBLANK(C200))),IFERROR(IF(ISTEXT(INDEX(#REF!,MATCH(B200,#REF!,0),MATCH(C200,#REF!,0))),HYPERLINK(INDEX(#REF!,MATCH(B200,#REF!,0),MATCH(C200,#REF!,0)),"_YES_"),INDEX(#REF!,MATCH(B200,#REF!,0),MATCH(C200,#REF!,0))),FALSE),"")</f>
        <v/>
      </c>
      <c r="J200" t="s">
        <v>64</v>
      </c>
      <c r="K200" t="s">
        <v>64</v>
      </c>
      <c r="L200" t="s">
        <v>64</v>
      </c>
      <c r="M200" t="s">
        <v>64</v>
      </c>
      <c r="N200" t="s">
        <v>64</v>
      </c>
    </row>
    <row r="201" spans="4:14">
      <c r="D201" s="36" t="str">
        <f>IF(NOT(AND(ISBLANK(B201),ISBLANK(C201))),IFERROR(IF(ISTEXT(INDEX(#REF!,MATCH(B201,#REF!,0),MATCH(C201,#REF!,0))),HYPERLINK(INDEX(#REF!,MATCH(B201,#REF!,0),MATCH(C201,#REF!,0)),"_YES_"),INDEX(#REF!,MATCH(B201,#REF!,0),MATCH(C201,#REF!,0))),FALSE),"")</f>
        <v/>
      </c>
      <c r="J201" t="s">
        <v>64</v>
      </c>
      <c r="K201" t="s">
        <v>64</v>
      </c>
      <c r="L201" t="s">
        <v>64</v>
      </c>
      <c r="M201" t="s">
        <v>64</v>
      </c>
      <c r="N201" t="s">
        <v>64</v>
      </c>
    </row>
    <row r="202" spans="4:14">
      <c r="D202" s="36" t="str">
        <f>IF(NOT(AND(ISBLANK(B202),ISBLANK(C202))),IFERROR(IF(ISTEXT(INDEX(#REF!,MATCH(B202,#REF!,0),MATCH(C202,#REF!,0))),HYPERLINK(INDEX(#REF!,MATCH(B202,#REF!,0),MATCH(C202,#REF!,0)),"_YES_"),INDEX(#REF!,MATCH(B202,#REF!,0),MATCH(C202,#REF!,0))),FALSE),"")</f>
        <v/>
      </c>
      <c r="J202" t="s">
        <v>64</v>
      </c>
      <c r="K202" t="s">
        <v>64</v>
      </c>
      <c r="L202" t="s">
        <v>64</v>
      </c>
      <c r="M202" t="s">
        <v>64</v>
      </c>
      <c r="N202" t="s">
        <v>64</v>
      </c>
    </row>
    <row r="203" spans="4:14">
      <c r="D203" s="36" t="str">
        <f>IF(NOT(AND(ISBLANK(B203),ISBLANK(C203))),IFERROR(IF(ISTEXT(INDEX(#REF!,MATCH(B203,#REF!,0),MATCH(C203,#REF!,0))),HYPERLINK(INDEX(#REF!,MATCH(B203,#REF!,0),MATCH(C203,#REF!,0)),"_YES_"),INDEX(#REF!,MATCH(B203,#REF!,0),MATCH(C203,#REF!,0))),FALSE),"")</f>
        <v/>
      </c>
      <c r="J203" t="s">
        <v>64</v>
      </c>
      <c r="K203" t="s">
        <v>64</v>
      </c>
      <c r="L203" t="s">
        <v>64</v>
      </c>
      <c r="M203" t="s">
        <v>64</v>
      </c>
      <c r="N203" t="s">
        <v>64</v>
      </c>
    </row>
    <row r="204" spans="4:14">
      <c r="D204" s="36" t="str">
        <f>IF(NOT(AND(ISBLANK(B204),ISBLANK(C204))),IFERROR(IF(ISTEXT(INDEX(#REF!,MATCH(B204,#REF!,0),MATCH(C204,#REF!,0))),HYPERLINK(INDEX(#REF!,MATCH(B204,#REF!,0),MATCH(C204,#REF!,0)),"_YES_"),INDEX(#REF!,MATCH(B204,#REF!,0),MATCH(C204,#REF!,0))),FALSE),"")</f>
        <v/>
      </c>
      <c r="J204" t="s">
        <v>64</v>
      </c>
      <c r="K204" t="s">
        <v>64</v>
      </c>
      <c r="L204" t="s">
        <v>64</v>
      </c>
      <c r="M204" t="s">
        <v>64</v>
      </c>
      <c r="N204" t="s">
        <v>64</v>
      </c>
    </row>
    <row r="205" spans="4:14">
      <c r="D205" s="36" t="str">
        <f>IF(NOT(AND(ISBLANK(B205),ISBLANK(C205))),IFERROR(IF(ISTEXT(INDEX(#REF!,MATCH(B205,#REF!,0),MATCH(C205,#REF!,0))),HYPERLINK(INDEX(#REF!,MATCH(B205,#REF!,0),MATCH(C205,#REF!,0)),"_YES_"),INDEX(#REF!,MATCH(B205,#REF!,0),MATCH(C205,#REF!,0))),FALSE),"")</f>
        <v/>
      </c>
      <c r="J205" t="s">
        <v>64</v>
      </c>
      <c r="K205" t="s">
        <v>64</v>
      </c>
      <c r="L205" t="s">
        <v>64</v>
      </c>
      <c r="M205" t="s">
        <v>64</v>
      </c>
      <c r="N205" t="s">
        <v>64</v>
      </c>
    </row>
    <row r="206" spans="4:14">
      <c r="D206" s="36" t="str">
        <f>IF(NOT(AND(ISBLANK(B206),ISBLANK(C206))),IFERROR(IF(ISTEXT(INDEX(#REF!,MATCH(B206,#REF!,0),MATCH(C206,#REF!,0))),HYPERLINK(INDEX(#REF!,MATCH(B206,#REF!,0),MATCH(C206,#REF!,0)),"_YES_"),INDEX(#REF!,MATCH(B206,#REF!,0),MATCH(C206,#REF!,0))),FALSE),"")</f>
        <v/>
      </c>
      <c r="J206" t="s">
        <v>64</v>
      </c>
      <c r="K206" t="s">
        <v>64</v>
      </c>
      <c r="L206" t="s">
        <v>64</v>
      </c>
      <c r="M206" t="s">
        <v>64</v>
      </c>
      <c r="N206" t="s">
        <v>64</v>
      </c>
    </row>
    <row r="207" spans="4:14">
      <c r="D207" s="36" t="str">
        <f>IF(NOT(AND(ISBLANK(B207),ISBLANK(C207))),IFERROR(IF(ISTEXT(INDEX(#REF!,MATCH(B207,#REF!,0),MATCH(C207,#REF!,0))),HYPERLINK(INDEX(#REF!,MATCH(B207,#REF!,0),MATCH(C207,#REF!,0)),"_YES_"),INDEX(#REF!,MATCH(B207,#REF!,0),MATCH(C207,#REF!,0))),FALSE),"")</f>
        <v/>
      </c>
      <c r="J207" t="s">
        <v>64</v>
      </c>
      <c r="K207" t="s">
        <v>64</v>
      </c>
      <c r="L207" t="s">
        <v>64</v>
      </c>
      <c r="M207" t="s">
        <v>64</v>
      </c>
      <c r="N207" t="s">
        <v>64</v>
      </c>
    </row>
    <row r="208" spans="4:14">
      <c r="D208" s="36" t="str">
        <f>IF(NOT(AND(ISBLANK(B208),ISBLANK(C208))),IFERROR(IF(ISTEXT(INDEX(#REF!,MATCH(B208,#REF!,0),MATCH(C208,#REF!,0))),HYPERLINK(INDEX(#REF!,MATCH(B208,#REF!,0),MATCH(C208,#REF!,0)),"_YES_"),INDEX(#REF!,MATCH(B208,#REF!,0),MATCH(C208,#REF!,0))),FALSE),"")</f>
        <v/>
      </c>
      <c r="J208" t="s">
        <v>64</v>
      </c>
      <c r="K208" t="s">
        <v>64</v>
      </c>
      <c r="L208" t="s">
        <v>64</v>
      </c>
      <c r="M208" t="s">
        <v>64</v>
      </c>
      <c r="N208" t="s">
        <v>64</v>
      </c>
    </row>
    <row r="209" spans="4:14">
      <c r="D209" s="36" t="str">
        <f>IF(NOT(AND(ISBLANK(B209),ISBLANK(C209))),IFERROR(IF(ISTEXT(INDEX(#REF!,MATCH(B209,#REF!,0),MATCH(C209,#REF!,0))),HYPERLINK(INDEX(#REF!,MATCH(B209,#REF!,0),MATCH(C209,#REF!,0)),"_YES_"),INDEX(#REF!,MATCH(B209,#REF!,0),MATCH(C209,#REF!,0))),FALSE),"")</f>
        <v/>
      </c>
      <c r="J209" t="s">
        <v>64</v>
      </c>
      <c r="K209" t="s">
        <v>64</v>
      </c>
      <c r="L209" t="s">
        <v>64</v>
      </c>
      <c r="M209" t="s">
        <v>64</v>
      </c>
      <c r="N209" t="s">
        <v>64</v>
      </c>
    </row>
    <row r="210" spans="4:14">
      <c r="D210" s="36" t="str">
        <f>IF(NOT(AND(ISBLANK(B210),ISBLANK(C210))),IFERROR(IF(ISTEXT(INDEX(#REF!,MATCH(B210,#REF!,0),MATCH(C210,#REF!,0))),HYPERLINK(INDEX(#REF!,MATCH(B210,#REF!,0),MATCH(C210,#REF!,0)),"_YES_"),INDEX(#REF!,MATCH(B210,#REF!,0),MATCH(C210,#REF!,0))),FALSE),"")</f>
        <v/>
      </c>
      <c r="J210" t="s">
        <v>64</v>
      </c>
      <c r="K210" t="s">
        <v>64</v>
      </c>
      <c r="L210" t="s">
        <v>64</v>
      </c>
      <c r="M210" t="s">
        <v>64</v>
      </c>
      <c r="N210" t="s">
        <v>64</v>
      </c>
    </row>
    <row r="211" spans="4:14">
      <c r="D211" s="36" t="str">
        <f>IF(NOT(AND(ISBLANK(B211),ISBLANK(C211))),IFERROR(IF(ISTEXT(INDEX(#REF!,MATCH(B211,#REF!,0),MATCH(C211,#REF!,0))),HYPERLINK(INDEX(#REF!,MATCH(B211,#REF!,0),MATCH(C211,#REF!,0)),"_YES_"),INDEX(#REF!,MATCH(B211,#REF!,0),MATCH(C211,#REF!,0))),FALSE),"")</f>
        <v/>
      </c>
      <c r="J211" t="s">
        <v>64</v>
      </c>
      <c r="K211" t="s">
        <v>64</v>
      </c>
      <c r="L211" t="s">
        <v>64</v>
      </c>
      <c r="M211" t="s">
        <v>64</v>
      </c>
      <c r="N211" t="s">
        <v>64</v>
      </c>
    </row>
    <row r="212" spans="4:14">
      <c r="D212" s="36" t="str">
        <f>IF(NOT(AND(ISBLANK(B212),ISBLANK(C212))),IFERROR(IF(ISTEXT(INDEX(#REF!,MATCH(B212,#REF!,0),MATCH(C212,#REF!,0))),HYPERLINK(INDEX(#REF!,MATCH(B212,#REF!,0),MATCH(C212,#REF!,0)),"_YES_"),INDEX(#REF!,MATCH(B212,#REF!,0),MATCH(C212,#REF!,0))),FALSE),"")</f>
        <v/>
      </c>
      <c r="J212" t="s">
        <v>64</v>
      </c>
      <c r="K212" t="s">
        <v>64</v>
      </c>
      <c r="L212" t="s">
        <v>64</v>
      </c>
      <c r="M212" t="s">
        <v>64</v>
      </c>
      <c r="N212" t="s">
        <v>64</v>
      </c>
    </row>
    <row r="213" spans="4:14">
      <c r="D213" s="36" t="str">
        <f>IF(NOT(AND(ISBLANK(B213),ISBLANK(C213))),IFERROR(IF(ISTEXT(INDEX(#REF!,MATCH(B213,#REF!,0),MATCH(C213,#REF!,0))),HYPERLINK(INDEX(#REF!,MATCH(B213,#REF!,0),MATCH(C213,#REF!,0)),"_YES_"),INDEX(#REF!,MATCH(B213,#REF!,0),MATCH(C213,#REF!,0))),FALSE),"")</f>
        <v/>
      </c>
      <c r="J213" t="s">
        <v>64</v>
      </c>
      <c r="K213" t="s">
        <v>64</v>
      </c>
      <c r="L213" t="s">
        <v>64</v>
      </c>
      <c r="M213" t="s">
        <v>64</v>
      </c>
      <c r="N213" t="s">
        <v>64</v>
      </c>
    </row>
    <row r="214" spans="4:14">
      <c r="D214" s="36" t="str">
        <f>IF(NOT(AND(ISBLANK(B214),ISBLANK(C214))),IFERROR(IF(ISTEXT(INDEX(#REF!,MATCH(B214,#REF!,0),MATCH(C214,#REF!,0))),HYPERLINK(INDEX(#REF!,MATCH(B214,#REF!,0),MATCH(C214,#REF!,0)),"_YES_"),INDEX(#REF!,MATCH(B214,#REF!,0),MATCH(C214,#REF!,0))),FALSE),"")</f>
        <v/>
      </c>
      <c r="J214" t="s">
        <v>64</v>
      </c>
      <c r="K214" t="s">
        <v>64</v>
      </c>
      <c r="L214" t="s">
        <v>64</v>
      </c>
      <c r="M214" t="s">
        <v>64</v>
      </c>
      <c r="N214" t="s">
        <v>64</v>
      </c>
    </row>
    <row r="215" spans="4:14">
      <c r="D215" s="36" t="str">
        <f>IF(NOT(AND(ISBLANK(B215),ISBLANK(C215))),IFERROR(IF(ISTEXT(INDEX(#REF!,MATCH(B215,#REF!,0),MATCH(C215,#REF!,0))),HYPERLINK(INDEX(#REF!,MATCH(B215,#REF!,0),MATCH(C215,#REF!,0)),"_YES_"),INDEX(#REF!,MATCH(B215,#REF!,0),MATCH(C215,#REF!,0))),FALSE),"")</f>
        <v/>
      </c>
      <c r="J215" t="s">
        <v>64</v>
      </c>
      <c r="K215" t="s">
        <v>64</v>
      </c>
      <c r="L215" t="s">
        <v>64</v>
      </c>
      <c r="M215" t="s">
        <v>64</v>
      </c>
      <c r="N215" t="s">
        <v>64</v>
      </c>
    </row>
    <row r="216" spans="4:14">
      <c r="D216" s="36" t="str">
        <f>IF(NOT(AND(ISBLANK(B216),ISBLANK(C216))),IFERROR(IF(ISTEXT(INDEX(#REF!,MATCH(B216,#REF!,0),MATCH(C216,#REF!,0))),HYPERLINK(INDEX(#REF!,MATCH(B216,#REF!,0),MATCH(C216,#REF!,0)),"_YES_"),INDEX(#REF!,MATCH(B216,#REF!,0),MATCH(C216,#REF!,0))),FALSE),"")</f>
        <v/>
      </c>
      <c r="J216" t="s">
        <v>64</v>
      </c>
      <c r="K216" t="s">
        <v>64</v>
      </c>
      <c r="L216" t="s">
        <v>64</v>
      </c>
      <c r="M216" t="s">
        <v>64</v>
      </c>
      <c r="N216" t="s">
        <v>64</v>
      </c>
    </row>
    <row r="217" spans="4:14">
      <c r="D217" s="36" t="str">
        <f>IF(NOT(AND(ISBLANK(B217),ISBLANK(C217))),IFERROR(IF(ISTEXT(INDEX(#REF!,MATCH(B217,#REF!,0),MATCH(C217,#REF!,0))),HYPERLINK(INDEX(#REF!,MATCH(B217,#REF!,0),MATCH(C217,#REF!,0)),"_YES_"),INDEX(#REF!,MATCH(B217,#REF!,0),MATCH(C217,#REF!,0))),FALSE),"")</f>
        <v/>
      </c>
      <c r="J217" t="s">
        <v>64</v>
      </c>
      <c r="K217" t="s">
        <v>64</v>
      </c>
      <c r="L217" t="s">
        <v>64</v>
      </c>
      <c r="M217" t="s">
        <v>64</v>
      </c>
      <c r="N217" t="s">
        <v>64</v>
      </c>
    </row>
    <row r="218" spans="4:14">
      <c r="D218" s="36" t="str">
        <f>IF(NOT(AND(ISBLANK(B218),ISBLANK(C218))),IFERROR(IF(ISTEXT(INDEX(#REF!,MATCH(B218,#REF!,0),MATCH(C218,#REF!,0))),HYPERLINK(INDEX(#REF!,MATCH(B218,#REF!,0),MATCH(C218,#REF!,0)),"_YES_"),INDEX(#REF!,MATCH(B218,#REF!,0),MATCH(C218,#REF!,0))),FALSE),"")</f>
        <v/>
      </c>
      <c r="J218" t="s">
        <v>64</v>
      </c>
      <c r="K218" t="s">
        <v>64</v>
      </c>
      <c r="L218" t="s">
        <v>64</v>
      </c>
      <c r="M218" t="s">
        <v>64</v>
      </c>
      <c r="N218" t="s">
        <v>64</v>
      </c>
    </row>
    <row r="219" spans="4:14">
      <c r="D219" s="36" t="str">
        <f>IF(NOT(AND(ISBLANK(B219),ISBLANK(C219))),IFERROR(IF(ISTEXT(INDEX(#REF!,MATCH(B219,#REF!,0),MATCH(C219,#REF!,0))),HYPERLINK(INDEX(#REF!,MATCH(B219,#REF!,0),MATCH(C219,#REF!,0)),"_YES_"),INDEX(#REF!,MATCH(B219,#REF!,0),MATCH(C219,#REF!,0))),FALSE),"")</f>
        <v/>
      </c>
      <c r="J219" t="s">
        <v>64</v>
      </c>
      <c r="K219" t="s">
        <v>64</v>
      </c>
      <c r="L219" t="s">
        <v>64</v>
      </c>
      <c r="M219" t="s">
        <v>64</v>
      </c>
      <c r="N219" t="s">
        <v>64</v>
      </c>
    </row>
    <row r="220" spans="4:14">
      <c r="D220" s="36" t="str">
        <f>IF(NOT(AND(ISBLANK(B220),ISBLANK(C220))),IFERROR(IF(ISTEXT(INDEX(#REF!,MATCH(B220,#REF!,0),MATCH(C220,#REF!,0))),HYPERLINK(INDEX(#REF!,MATCH(B220,#REF!,0),MATCH(C220,#REF!,0)),"_YES_"),INDEX(#REF!,MATCH(B220,#REF!,0),MATCH(C220,#REF!,0))),FALSE),"")</f>
        <v/>
      </c>
      <c r="J220" t="s">
        <v>64</v>
      </c>
      <c r="K220" t="s">
        <v>64</v>
      </c>
      <c r="L220" t="s">
        <v>64</v>
      </c>
      <c r="M220" t="s">
        <v>64</v>
      </c>
      <c r="N220" t="s">
        <v>64</v>
      </c>
    </row>
    <row r="221" spans="4:14">
      <c r="D221" s="36" t="str">
        <f>IF(NOT(AND(ISBLANK(B221),ISBLANK(C221))),IFERROR(IF(ISTEXT(INDEX(#REF!,MATCH(B221,#REF!,0),MATCH(C221,#REF!,0))),HYPERLINK(INDEX(#REF!,MATCH(B221,#REF!,0),MATCH(C221,#REF!,0)),"_YES_"),INDEX(#REF!,MATCH(B221,#REF!,0),MATCH(C221,#REF!,0))),FALSE),"")</f>
        <v/>
      </c>
      <c r="J221" t="s">
        <v>64</v>
      </c>
      <c r="K221" t="s">
        <v>64</v>
      </c>
      <c r="L221" t="s">
        <v>64</v>
      </c>
      <c r="M221" t="s">
        <v>64</v>
      </c>
      <c r="N221" t="s">
        <v>64</v>
      </c>
    </row>
    <row r="222" spans="4:14">
      <c r="D222" s="36" t="str">
        <f>IF(NOT(AND(ISBLANK(B222),ISBLANK(C222))),IFERROR(IF(ISTEXT(INDEX(#REF!,MATCH(B222,#REF!,0),MATCH(C222,#REF!,0))),HYPERLINK(INDEX(#REF!,MATCH(B222,#REF!,0),MATCH(C222,#REF!,0)),"_YES_"),INDEX(#REF!,MATCH(B222,#REF!,0),MATCH(C222,#REF!,0))),FALSE),"")</f>
        <v/>
      </c>
      <c r="J222" t="s">
        <v>64</v>
      </c>
      <c r="K222" t="s">
        <v>64</v>
      </c>
      <c r="L222" t="s">
        <v>64</v>
      </c>
      <c r="M222" t="s">
        <v>64</v>
      </c>
      <c r="N222" t="s">
        <v>64</v>
      </c>
    </row>
    <row r="223" spans="4:14">
      <c r="D223" s="36" t="str">
        <f>IF(NOT(AND(ISBLANK(B223),ISBLANK(C223))),IFERROR(IF(ISTEXT(INDEX(#REF!,MATCH(B223,#REF!,0),MATCH(C223,#REF!,0))),HYPERLINK(INDEX(#REF!,MATCH(B223,#REF!,0),MATCH(C223,#REF!,0)),"_YES_"),INDEX(#REF!,MATCH(B223,#REF!,0),MATCH(C223,#REF!,0))),FALSE),"")</f>
        <v/>
      </c>
      <c r="J223" t="s">
        <v>64</v>
      </c>
      <c r="K223" t="s">
        <v>64</v>
      </c>
      <c r="L223" t="s">
        <v>64</v>
      </c>
      <c r="M223" t="s">
        <v>64</v>
      </c>
      <c r="N223" t="s">
        <v>64</v>
      </c>
    </row>
    <row r="224" spans="4:14">
      <c r="D224" s="36" t="str">
        <f>IF(NOT(AND(ISBLANK(B224),ISBLANK(C224))),IFERROR(IF(ISTEXT(INDEX(#REF!,MATCH(B224,#REF!,0),MATCH(C224,#REF!,0))),HYPERLINK(INDEX(#REF!,MATCH(B224,#REF!,0),MATCH(C224,#REF!,0)),"_YES_"),INDEX(#REF!,MATCH(B224,#REF!,0),MATCH(C224,#REF!,0))),FALSE),"")</f>
        <v/>
      </c>
      <c r="J224" t="s">
        <v>64</v>
      </c>
      <c r="K224" t="s">
        <v>64</v>
      </c>
      <c r="L224" t="s">
        <v>64</v>
      </c>
      <c r="M224" t="s">
        <v>64</v>
      </c>
      <c r="N224" t="s">
        <v>64</v>
      </c>
    </row>
    <row r="225" spans="4:14">
      <c r="D225" s="36" t="str">
        <f>IF(NOT(AND(ISBLANK(B225),ISBLANK(C225))),IFERROR(IF(ISTEXT(INDEX(#REF!,MATCH(B225,#REF!,0),MATCH(C225,#REF!,0))),HYPERLINK(INDEX(#REF!,MATCH(B225,#REF!,0),MATCH(C225,#REF!,0)),"_YES_"),INDEX(#REF!,MATCH(B225,#REF!,0),MATCH(C225,#REF!,0))),FALSE),"")</f>
        <v/>
      </c>
      <c r="J225" t="s">
        <v>64</v>
      </c>
      <c r="K225" t="s">
        <v>64</v>
      </c>
      <c r="L225" t="s">
        <v>64</v>
      </c>
      <c r="M225" t="s">
        <v>64</v>
      </c>
      <c r="N225" t="s">
        <v>64</v>
      </c>
    </row>
    <row r="226" spans="4:14">
      <c r="D226" s="36" t="str">
        <f>IF(NOT(AND(ISBLANK(B226),ISBLANK(C226))),IFERROR(IF(ISTEXT(INDEX(#REF!,MATCH(B226,#REF!,0),MATCH(C226,#REF!,0))),HYPERLINK(INDEX(#REF!,MATCH(B226,#REF!,0),MATCH(C226,#REF!,0)),"_YES_"),INDEX(#REF!,MATCH(B226,#REF!,0),MATCH(C226,#REF!,0))),FALSE),"")</f>
        <v/>
      </c>
      <c r="J226" t="s">
        <v>64</v>
      </c>
      <c r="K226" t="s">
        <v>64</v>
      </c>
      <c r="L226" t="s">
        <v>64</v>
      </c>
      <c r="M226" t="s">
        <v>64</v>
      </c>
      <c r="N226" t="s">
        <v>64</v>
      </c>
    </row>
    <row r="227" spans="4:14">
      <c r="D227" s="36" t="str">
        <f>IF(NOT(AND(ISBLANK(B227),ISBLANK(C227))),IFERROR(IF(ISTEXT(INDEX(#REF!,MATCH(B227,#REF!,0),MATCH(C227,#REF!,0))),HYPERLINK(INDEX(#REF!,MATCH(B227,#REF!,0),MATCH(C227,#REF!,0)),"_YES_"),INDEX(#REF!,MATCH(B227,#REF!,0),MATCH(C227,#REF!,0))),FALSE),"")</f>
        <v/>
      </c>
      <c r="J227" t="s">
        <v>64</v>
      </c>
      <c r="K227" t="s">
        <v>64</v>
      </c>
      <c r="L227" t="s">
        <v>64</v>
      </c>
      <c r="M227" t="s">
        <v>64</v>
      </c>
      <c r="N227" t="s">
        <v>64</v>
      </c>
    </row>
    <row r="228" spans="4:14">
      <c r="D228" s="36" t="str">
        <f>IF(NOT(AND(ISBLANK(B228),ISBLANK(C228))),IFERROR(IF(ISTEXT(INDEX(#REF!,MATCH(B228,#REF!,0),MATCH(C228,#REF!,0))),HYPERLINK(INDEX(#REF!,MATCH(B228,#REF!,0),MATCH(C228,#REF!,0)),"_YES_"),INDEX(#REF!,MATCH(B228,#REF!,0),MATCH(C228,#REF!,0))),FALSE),"")</f>
        <v/>
      </c>
      <c r="J228" t="s">
        <v>64</v>
      </c>
      <c r="K228" t="s">
        <v>64</v>
      </c>
      <c r="L228" t="s">
        <v>64</v>
      </c>
      <c r="M228" t="s">
        <v>64</v>
      </c>
      <c r="N228" t="s">
        <v>64</v>
      </c>
    </row>
    <row r="229" spans="4:14">
      <c r="D229" s="36" t="str">
        <f>IF(NOT(AND(ISBLANK(B229),ISBLANK(C229))),IFERROR(IF(ISTEXT(INDEX(#REF!,MATCH(B229,#REF!,0),MATCH(C229,#REF!,0))),HYPERLINK(INDEX(#REF!,MATCH(B229,#REF!,0),MATCH(C229,#REF!,0)),"_YES_"),INDEX(#REF!,MATCH(B229,#REF!,0),MATCH(C229,#REF!,0))),FALSE),"")</f>
        <v/>
      </c>
      <c r="J229" t="s">
        <v>64</v>
      </c>
      <c r="K229" t="s">
        <v>64</v>
      </c>
      <c r="L229" t="s">
        <v>64</v>
      </c>
      <c r="M229" t="s">
        <v>64</v>
      </c>
      <c r="N229" t="s">
        <v>64</v>
      </c>
    </row>
    <row r="230" spans="4:14">
      <c r="D230" s="36" t="str">
        <f>IF(NOT(AND(ISBLANK(B230),ISBLANK(C230))),IFERROR(IF(ISTEXT(INDEX(#REF!,MATCH(B230,#REF!,0),MATCH(C230,#REF!,0))),HYPERLINK(INDEX(#REF!,MATCH(B230,#REF!,0),MATCH(C230,#REF!,0)),"_YES_"),INDEX(#REF!,MATCH(B230,#REF!,0),MATCH(C230,#REF!,0))),FALSE),"")</f>
        <v/>
      </c>
      <c r="J230" t="s">
        <v>64</v>
      </c>
      <c r="K230" t="s">
        <v>64</v>
      </c>
      <c r="L230" t="s">
        <v>64</v>
      </c>
      <c r="M230" t="s">
        <v>64</v>
      </c>
      <c r="N230" t="s">
        <v>64</v>
      </c>
    </row>
    <row r="231" spans="4:14">
      <c r="D231" s="36" t="str">
        <f>IF(NOT(AND(ISBLANK(B231),ISBLANK(C231))),IFERROR(IF(ISTEXT(INDEX(#REF!,MATCH(B231,#REF!,0),MATCH(C231,#REF!,0))),HYPERLINK(INDEX(#REF!,MATCH(B231,#REF!,0),MATCH(C231,#REF!,0)),"_YES_"),INDEX(#REF!,MATCH(B231,#REF!,0),MATCH(C231,#REF!,0))),FALSE),"")</f>
        <v/>
      </c>
      <c r="J231" t="s">
        <v>64</v>
      </c>
      <c r="K231" t="s">
        <v>64</v>
      </c>
      <c r="L231" t="s">
        <v>64</v>
      </c>
      <c r="M231" t="s">
        <v>64</v>
      </c>
      <c r="N231" t="s">
        <v>64</v>
      </c>
    </row>
    <row r="232" spans="4:14">
      <c r="D232" s="36" t="str">
        <f>IF(NOT(AND(ISBLANK(B232),ISBLANK(C232))),IFERROR(IF(ISTEXT(INDEX(#REF!,MATCH(B232,#REF!,0),MATCH(C232,#REF!,0))),HYPERLINK(INDEX(#REF!,MATCH(B232,#REF!,0),MATCH(C232,#REF!,0)),"_YES_"),INDEX(#REF!,MATCH(B232,#REF!,0),MATCH(C232,#REF!,0))),FALSE),"")</f>
        <v/>
      </c>
      <c r="J232" t="s">
        <v>64</v>
      </c>
      <c r="K232" t="s">
        <v>64</v>
      </c>
      <c r="L232" t="s">
        <v>64</v>
      </c>
      <c r="M232" t="s">
        <v>64</v>
      </c>
      <c r="N232" t="s">
        <v>64</v>
      </c>
    </row>
    <row r="233" spans="4:14">
      <c r="D233" s="36" t="str">
        <f>IF(NOT(AND(ISBLANK(B233),ISBLANK(C233))),IFERROR(IF(ISTEXT(INDEX(#REF!,MATCH(B233,#REF!,0),MATCH(C233,#REF!,0))),HYPERLINK(INDEX(#REF!,MATCH(B233,#REF!,0),MATCH(C233,#REF!,0)),"_YES_"),INDEX(#REF!,MATCH(B233,#REF!,0),MATCH(C233,#REF!,0))),FALSE),"")</f>
        <v/>
      </c>
      <c r="J233" t="s">
        <v>64</v>
      </c>
      <c r="K233" t="s">
        <v>64</v>
      </c>
      <c r="L233" t="s">
        <v>64</v>
      </c>
      <c r="M233" t="s">
        <v>64</v>
      </c>
      <c r="N233" t="s">
        <v>64</v>
      </c>
    </row>
    <row r="234" spans="4:14">
      <c r="D234" s="36" t="str">
        <f>IF(NOT(AND(ISBLANK(B234),ISBLANK(C234))),IFERROR(IF(ISTEXT(INDEX(#REF!,MATCH(B234,#REF!,0),MATCH(C234,#REF!,0))),HYPERLINK(INDEX(#REF!,MATCH(B234,#REF!,0),MATCH(C234,#REF!,0)),"_YES_"),INDEX(#REF!,MATCH(B234,#REF!,0),MATCH(C234,#REF!,0))),FALSE),"")</f>
        <v/>
      </c>
      <c r="J234" t="s">
        <v>64</v>
      </c>
      <c r="K234" t="s">
        <v>64</v>
      </c>
      <c r="L234" t="s">
        <v>64</v>
      </c>
      <c r="M234" t="s">
        <v>64</v>
      </c>
      <c r="N234" t="s">
        <v>64</v>
      </c>
    </row>
    <row r="235" spans="4:14">
      <c r="D235" s="36" t="str">
        <f>IF(NOT(AND(ISBLANK(B235),ISBLANK(C235))),IFERROR(IF(ISTEXT(INDEX(#REF!,MATCH(B235,#REF!,0),MATCH(C235,#REF!,0))),HYPERLINK(INDEX(#REF!,MATCH(B235,#REF!,0),MATCH(C235,#REF!,0)),"_YES_"),INDEX(#REF!,MATCH(B235,#REF!,0),MATCH(C235,#REF!,0))),FALSE),"")</f>
        <v/>
      </c>
      <c r="J235" t="s">
        <v>64</v>
      </c>
      <c r="K235" t="s">
        <v>64</v>
      </c>
      <c r="L235" t="s">
        <v>64</v>
      </c>
      <c r="M235" t="s">
        <v>64</v>
      </c>
      <c r="N235" t="s">
        <v>64</v>
      </c>
    </row>
    <row r="236" spans="4:14">
      <c r="D236" s="36" t="str">
        <f>IF(NOT(AND(ISBLANK(B236),ISBLANK(C236))),IFERROR(IF(ISTEXT(INDEX(#REF!,MATCH(B236,#REF!,0),MATCH(C236,#REF!,0))),HYPERLINK(INDEX(#REF!,MATCH(B236,#REF!,0),MATCH(C236,#REF!,0)),"_YES_"),INDEX(#REF!,MATCH(B236,#REF!,0),MATCH(C236,#REF!,0))),FALSE),"")</f>
        <v/>
      </c>
      <c r="J236" t="s">
        <v>64</v>
      </c>
      <c r="K236" t="s">
        <v>64</v>
      </c>
      <c r="L236" t="s">
        <v>64</v>
      </c>
      <c r="M236" t="s">
        <v>64</v>
      </c>
      <c r="N236" t="s">
        <v>64</v>
      </c>
    </row>
    <row r="237" spans="4:14">
      <c r="D237" s="36" t="str">
        <f>IF(NOT(AND(ISBLANK(B237),ISBLANK(C237))),IFERROR(IF(ISTEXT(INDEX(#REF!,MATCH(B237,#REF!,0),MATCH(C237,#REF!,0))),HYPERLINK(INDEX(#REF!,MATCH(B237,#REF!,0),MATCH(C237,#REF!,0)),"_YES_"),INDEX(#REF!,MATCH(B237,#REF!,0),MATCH(C237,#REF!,0))),FALSE),"")</f>
        <v/>
      </c>
      <c r="J237" t="s">
        <v>64</v>
      </c>
      <c r="K237" t="s">
        <v>64</v>
      </c>
      <c r="L237" t="s">
        <v>64</v>
      </c>
      <c r="M237" t="s">
        <v>64</v>
      </c>
      <c r="N237" t="s">
        <v>64</v>
      </c>
    </row>
    <row r="238" spans="4:14">
      <c r="D238" s="36" t="str">
        <f>IF(NOT(AND(ISBLANK(B238),ISBLANK(C238))),IFERROR(IF(ISTEXT(INDEX(#REF!,MATCH(B238,#REF!,0),MATCH(C238,#REF!,0))),HYPERLINK(INDEX(#REF!,MATCH(B238,#REF!,0),MATCH(C238,#REF!,0)),"_YES_"),INDEX(#REF!,MATCH(B238,#REF!,0),MATCH(C238,#REF!,0))),FALSE),"")</f>
        <v/>
      </c>
      <c r="J238" t="s">
        <v>64</v>
      </c>
      <c r="K238" t="s">
        <v>64</v>
      </c>
      <c r="L238" t="s">
        <v>64</v>
      </c>
      <c r="M238" t="s">
        <v>64</v>
      </c>
      <c r="N238" t="s">
        <v>64</v>
      </c>
    </row>
    <row r="239" spans="4:14">
      <c r="D239" s="36" t="str">
        <f>IF(NOT(AND(ISBLANK(B239),ISBLANK(C239))),IFERROR(IF(ISTEXT(INDEX(#REF!,MATCH(B239,#REF!,0),MATCH(C239,#REF!,0))),HYPERLINK(INDEX(#REF!,MATCH(B239,#REF!,0),MATCH(C239,#REF!,0)),"_YES_"),INDEX(#REF!,MATCH(B239,#REF!,0),MATCH(C239,#REF!,0))),FALSE),"")</f>
        <v/>
      </c>
      <c r="J239" t="s">
        <v>64</v>
      </c>
      <c r="K239" t="s">
        <v>64</v>
      </c>
      <c r="L239" t="s">
        <v>64</v>
      </c>
      <c r="M239" t="s">
        <v>64</v>
      </c>
      <c r="N239" t="s">
        <v>64</v>
      </c>
    </row>
    <row r="240" spans="4:14">
      <c r="D240" s="36" t="str">
        <f>IF(NOT(AND(ISBLANK(B240),ISBLANK(C240))),IFERROR(IF(ISTEXT(INDEX(#REF!,MATCH(B240,#REF!,0),MATCH(C240,#REF!,0))),HYPERLINK(INDEX(#REF!,MATCH(B240,#REF!,0),MATCH(C240,#REF!,0)),"_YES_"),INDEX(#REF!,MATCH(B240,#REF!,0),MATCH(C240,#REF!,0))),FALSE),"")</f>
        <v/>
      </c>
      <c r="J240" t="s">
        <v>64</v>
      </c>
      <c r="K240" t="s">
        <v>64</v>
      </c>
      <c r="L240" t="s">
        <v>64</v>
      </c>
      <c r="M240" t="s">
        <v>64</v>
      </c>
      <c r="N240" t="s">
        <v>64</v>
      </c>
    </row>
    <row r="241" spans="4:14">
      <c r="D241" s="36" t="str">
        <f>IF(NOT(AND(ISBLANK(B241),ISBLANK(C241))),IFERROR(IF(ISTEXT(INDEX(#REF!,MATCH(B241,#REF!,0),MATCH(C241,#REF!,0))),HYPERLINK(INDEX(#REF!,MATCH(B241,#REF!,0),MATCH(C241,#REF!,0)),"_YES_"),INDEX(#REF!,MATCH(B241,#REF!,0),MATCH(C241,#REF!,0))),FALSE),"")</f>
        <v/>
      </c>
      <c r="J241" t="s">
        <v>64</v>
      </c>
      <c r="K241" t="s">
        <v>64</v>
      </c>
      <c r="L241" t="s">
        <v>64</v>
      </c>
      <c r="M241" t="s">
        <v>64</v>
      </c>
      <c r="N241" t="s">
        <v>64</v>
      </c>
    </row>
    <row r="242" spans="4:14">
      <c r="D242" s="36" t="str">
        <f>IF(NOT(AND(ISBLANK(B242),ISBLANK(C242))),IFERROR(IF(ISTEXT(INDEX(#REF!,MATCH(B242,#REF!,0),MATCH(C242,#REF!,0))),HYPERLINK(INDEX(#REF!,MATCH(B242,#REF!,0),MATCH(C242,#REF!,0)),"_YES_"),INDEX(#REF!,MATCH(B242,#REF!,0),MATCH(C242,#REF!,0))),FALSE),"")</f>
        <v/>
      </c>
      <c r="J242" t="s">
        <v>64</v>
      </c>
      <c r="K242" t="s">
        <v>64</v>
      </c>
      <c r="L242" t="s">
        <v>64</v>
      </c>
      <c r="M242" t="s">
        <v>64</v>
      </c>
      <c r="N242" t="s">
        <v>64</v>
      </c>
    </row>
    <row r="243" spans="4:14">
      <c r="D243" s="36" t="str">
        <f>IF(NOT(AND(ISBLANK(B243),ISBLANK(C243))),IFERROR(IF(ISTEXT(INDEX(#REF!,MATCH(B243,#REF!,0),MATCH(C243,#REF!,0))),HYPERLINK(INDEX(#REF!,MATCH(B243,#REF!,0),MATCH(C243,#REF!,0)),"_YES_"),INDEX(#REF!,MATCH(B243,#REF!,0),MATCH(C243,#REF!,0))),FALSE),"")</f>
        <v/>
      </c>
      <c r="J243" t="s">
        <v>64</v>
      </c>
      <c r="K243" t="s">
        <v>64</v>
      </c>
      <c r="L243" t="s">
        <v>64</v>
      </c>
      <c r="M243" t="s">
        <v>64</v>
      </c>
      <c r="N243" t="s">
        <v>64</v>
      </c>
    </row>
    <row r="244" spans="4:14">
      <c r="D244" s="36" t="str">
        <f>IF(NOT(AND(ISBLANK(B244),ISBLANK(C244))),IFERROR(IF(ISTEXT(INDEX(#REF!,MATCH(B244,#REF!,0),MATCH(C244,#REF!,0))),HYPERLINK(INDEX(#REF!,MATCH(B244,#REF!,0),MATCH(C244,#REF!,0)),"_YES_"),INDEX(#REF!,MATCH(B244,#REF!,0),MATCH(C244,#REF!,0))),FALSE),"")</f>
        <v/>
      </c>
      <c r="J244" t="s">
        <v>64</v>
      </c>
      <c r="K244" t="s">
        <v>64</v>
      </c>
      <c r="L244" t="s">
        <v>64</v>
      </c>
      <c r="M244" t="s">
        <v>64</v>
      </c>
      <c r="N244" t="s">
        <v>64</v>
      </c>
    </row>
    <row r="245" spans="4:14">
      <c r="D245" s="36" t="str">
        <f>IF(NOT(AND(ISBLANK(B245),ISBLANK(C245))),IFERROR(IF(ISTEXT(INDEX(#REF!,MATCH(B245,#REF!,0),MATCH(C245,#REF!,0))),HYPERLINK(INDEX(#REF!,MATCH(B245,#REF!,0),MATCH(C245,#REF!,0)),"_YES_"),INDEX(#REF!,MATCH(B245,#REF!,0),MATCH(C245,#REF!,0))),FALSE),"")</f>
        <v/>
      </c>
      <c r="J245" t="s">
        <v>64</v>
      </c>
      <c r="K245" t="s">
        <v>64</v>
      </c>
      <c r="L245" t="s">
        <v>64</v>
      </c>
      <c r="M245" t="s">
        <v>64</v>
      </c>
      <c r="N245" t="s">
        <v>64</v>
      </c>
    </row>
    <row r="246" spans="4:14">
      <c r="D246" s="36" t="str">
        <f>IF(NOT(AND(ISBLANK(B246),ISBLANK(C246))),IFERROR(IF(ISTEXT(INDEX(#REF!,MATCH(B246,#REF!,0),MATCH(C246,#REF!,0))),HYPERLINK(INDEX(#REF!,MATCH(B246,#REF!,0),MATCH(C246,#REF!,0)),"_YES_"),INDEX(#REF!,MATCH(B246,#REF!,0),MATCH(C246,#REF!,0))),FALSE),"")</f>
        <v/>
      </c>
      <c r="J246" t="s">
        <v>64</v>
      </c>
      <c r="K246" t="s">
        <v>64</v>
      </c>
      <c r="L246" t="s">
        <v>64</v>
      </c>
      <c r="M246" t="s">
        <v>64</v>
      </c>
      <c r="N246" t="s">
        <v>64</v>
      </c>
    </row>
    <row r="247" spans="4:14">
      <c r="D247" s="36" t="str">
        <f>IF(NOT(AND(ISBLANK(B247),ISBLANK(C247))),IFERROR(IF(ISTEXT(INDEX(#REF!,MATCH(B247,#REF!,0),MATCH(C247,#REF!,0))),HYPERLINK(INDEX(#REF!,MATCH(B247,#REF!,0),MATCH(C247,#REF!,0)),"_YES_"),INDEX(#REF!,MATCH(B247,#REF!,0),MATCH(C247,#REF!,0))),FALSE),"")</f>
        <v/>
      </c>
      <c r="J247" t="s">
        <v>64</v>
      </c>
      <c r="K247" t="s">
        <v>64</v>
      </c>
      <c r="L247" t="s">
        <v>64</v>
      </c>
      <c r="M247" t="s">
        <v>64</v>
      </c>
      <c r="N247" t="s">
        <v>64</v>
      </c>
    </row>
    <row r="248" spans="4:14">
      <c r="D248" s="36" t="str">
        <f>IF(NOT(AND(ISBLANK(B248),ISBLANK(C248))),IFERROR(IF(ISTEXT(INDEX(#REF!,MATCH(B248,#REF!,0),MATCH(C248,#REF!,0))),HYPERLINK(INDEX(#REF!,MATCH(B248,#REF!,0),MATCH(C248,#REF!,0)),"_YES_"),INDEX(#REF!,MATCH(B248,#REF!,0),MATCH(C248,#REF!,0))),FALSE),"")</f>
        <v/>
      </c>
      <c r="J248" t="s">
        <v>64</v>
      </c>
      <c r="K248" t="s">
        <v>64</v>
      </c>
      <c r="L248" t="s">
        <v>64</v>
      </c>
      <c r="M248" t="s">
        <v>64</v>
      </c>
      <c r="N248" t="s">
        <v>64</v>
      </c>
    </row>
    <row r="249" spans="4:14">
      <c r="D249" s="36" t="str">
        <f>IF(NOT(AND(ISBLANK(B249),ISBLANK(C249))),IFERROR(IF(ISTEXT(INDEX(#REF!,MATCH(B249,#REF!,0),MATCH(C249,#REF!,0))),HYPERLINK(INDEX(#REF!,MATCH(B249,#REF!,0),MATCH(C249,#REF!,0)),"_YES_"),INDEX(#REF!,MATCH(B249,#REF!,0),MATCH(C249,#REF!,0))),FALSE),"")</f>
        <v/>
      </c>
      <c r="J249" t="s">
        <v>64</v>
      </c>
      <c r="K249" t="s">
        <v>64</v>
      </c>
      <c r="L249" t="s">
        <v>64</v>
      </c>
      <c r="M249" t="s">
        <v>64</v>
      </c>
      <c r="N249" t="s">
        <v>64</v>
      </c>
    </row>
    <row r="250" spans="4:14">
      <c r="D250" s="36" t="str">
        <f>IF(NOT(AND(ISBLANK(B250),ISBLANK(C250))),IFERROR(IF(ISTEXT(INDEX(#REF!,MATCH(B250,#REF!,0),MATCH(C250,#REF!,0))),HYPERLINK(INDEX(#REF!,MATCH(B250,#REF!,0),MATCH(C250,#REF!,0)),"_YES_"),INDEX(#REF!,MATCH(B250,#REF!,0),MATCH(C250,#REF!,0))),FALSE),"")</f>
        <v/>
      </c>
      <c r="J250" t="s">
        <v>64</v>
      </c>
      <c r="K250" t="s">
        <v>64</v>
      </c>
      <c r="L250" t="s">
        <v>64</v>
      </c>
      <c r="M250" t="s">
        <v>64</v>
      </c>
      <c r="N250" t="s">
        <v>64</v>
      </c>
    </row>
  </sheetData>
  <mergeCells count="3">
    <mergeCell ref="E3:F3"/>
    <mergeCell ref="G3:H3"/>
    <mergeCell ref="J3:N3"/>
  </mergeCells>
  <conditionalFormatting sqref="A5:A1000">
    <cfRule type="containsText" dxfId="12" priority="7" stopIfTrue="1" operator="containsText" text="//">
      <formula>NOT(ISERROR(SEARCH("//",A5)))</formula>
    </cfRule>
  </conditionalFormatting>
  <conditionalFormatting sqref="D20:D125">
    <cfRule type="cellIs" dxfId="11" priority="19" stopIfTrue="1" operator="equal">
      <formula>"_YES_"</formula>
    </cfRule>
    <cfRule type="cellIs" dxfId="10" priority="21" stopIfTrue="1" operator="equal">
      <formula>FALSE</formula>
    </cfRule>
    <cfRule type="cellIs" dxfId="9" priority="22" stopIfTrue="1" operator="equal">
      <formula>"YES"</formula>
    </cfRule>
    <cfRule type="containsBlanks" dxfId="8" priority="26">
      <formula>LEN(TRIM(D20))=0</formula>
    </cfRule>
  </conditionalFormatting>
  <conditionalFormatting sqref="E5:H250">
    <cfRule type="expression" dxfId="7" priority="1" stopIfTrue="1">
      <formula>IF($D5="NO",TRUE,FALSE)</formula>
    </cfRule>
    <cfRule type="expression" dxfId="6" priority="2" stopIfTrue="1">
      <formula>IF(AND($D5&lt;&gt;"",$D5&lt;&gt;"NO",ISLOGICAL(E5)),TRUE,FALSE)</formula>
    </cfRule>
    <cfRule type="expression" dxfId="5" priority="3" stopIfTrue="1">
      <formula>IF(AND($D5&lt;&gt;"",$D5&lt;&gt;"NO",J5&lt;&gt;0,J5&lt;&gt;""), TRUE,FALSE)</formula>
    </cfRule>
  </conditionalFormatting>
  <conditionalFormatting sqref="J5:N250">
    <cfRule type="cellIs" dxfId="4" priority="10" operator="equal">
      <formula>0</formula>
    </cfRule>
  </conditionalFormatting>
  <dataValidations count="3">
    <dataValidation type="list" allowBlank="1" showInputMessage="1" sqref="C42:C250" xr:uid="{93170CDF-971B-4802-A17C-0DE70F65F85F}">
      <formula1>INDIRECT("nc_objects[#Headers]")</formula1>
    </dataValidation>
    <dataValidation type="list" allowBlank="1" showInputMessage="1" showErrorMessage="1" sqref="WVJ983045:WVJ983150 IX5:IX110 ST5:ST110 ACP5:ACP110 AML5:AML110 AWH5:AWH110 BGD5:BGD110 BPZ5:BPZ110 BZV5:BZV110 CJR5:CJR110 CTN5:CTN110 DDJ5:DDJ110 DNF5:DNF110 DXB5:DXB110 EGX5:EGX110 EQT5:EQT110 FAP5:FAP110 FKL5:FKL110 FUH5:FUH110 GED5:GED110 GNZ5:GNZ110 GXV5:GXV110 HHR5:HHR110 HRN5:HRN110 IBJ5:IBJ110 ILF5:ILF110 IVB5:IVB110 JEX5:JEX110 JOT5:JOT110 JYP5:JYP110 KIL5:KIL110 KSH5:KSH110 LCD5:LCD110 LLZ5:LLZ110 LVV5:LVV110 MFR5:MFR110 MPN5:MPN110 MZJ5:MZJ110 NJF5:NJF110 NTB5:NTB110 OCX5:OCX110 OMT5:OMT110 OWP5:OWP110 PGL5:PGL110 PQH5:PQH110 QAD5:QAD110 QJZ5:QJZ110 QTV5:QTV110 RDR5:RDR110 RNN5:RNN110 RXJ5:RXJ110 SHF5:SHF110 SRB5:SRB110 TAX5:TAX110 TKT5:TKT110 TUP5:TUP110 UEL5:UEL110 UOH5:UOH110 UYD5:UYD110 VHZ5:VHZ110 VRV5:VRV110 WBR5:WBR110 WLN5:WLN110 WVJ5:WVJ110 B65541:B65646 IX65541:IX65646 ST65541:ST65646 ACP65541:ACP65646 AML65541:AML65646 AWH65541:AWH65646 BGD65541:BGD65646 BPZ65541:BPZ65646 BZV65541:BZV65646 CJR65541:CJR65646 CTN65541:CTN65646 DDJ65541:DDJ65646 DNF65541:DNF65646 DXB65541:DXB65646 EGX65541:EGX65646 EQT65541:EQT65646 FAP65541:FAP65646 FKL65541:FKL65646 FUH65541:FUH65646 GED65541:GED65646 GNZ65541:GNZ65646 GXV65541:GXV65646 HHR65541:HHR65646 HRN65541:HRN65646 IBJ65541:IBJ65646 ILF65541:ILF65646 IVB65541:IVB65646 JEX65541:JEX65646 JOT65541:JOT65646 JYP65541:JYP65646 KIL65541:KIL65646 KSH65541:KSH65646 LCD65541:LCD65646 LLZ65541:LLZ65646 LVV65541:LVV65646 MFR65541:MFR65646 MPN65541:MPN65646 MZJ65541:MZJ65646 NJF65541:NJF65646 NTB65541:NTB65646 OCX65541:OCX65646 OMT65541:OMT65646 OWP65541:OWP65646 PGL65541:PGL65646 PQH65541:PQH65646 QAD65541:QAD65646 QJZ65541:QJZ65646 QTV65541:QTV65646 RDR65541:RDR65646 RNN65541:RNN65646 RXJ65541:RXJ65646 SHF65541:SHF65646 SRB65541:SRB65646 TAX65541:TAX65646 TKT65541:TKT65646 TUP65541:TUP65646 UEL65541:UEL65646 UOH65541:UOH65646 UYD65541:UYD65646 VHZ65541:VHZ65646 VRV65541:VRV65646 WBR65541:WBR65646 WLN65541:WLN65646 WVJ65541:WVJ65646 B131077:B131182 IX131077:IX131182 ST131077:ST131182 ACP131077:ACP131182 AML131077:AML131182 AWH131077:AWH131182 BGD131077:BGD131182 BPZ131077:BPZ131182 BZV131077:BZV131182 CJR131077:CJR131182 CTN131077:CTN131182 DDJ131077:DDJ131182 DNF131077:DNF131182 DXB131077:DXB131182 EGX131077:EGX131182 EQT131077:EQT131182 FAP131077:FAP131182 FKL131077:FKL131182 FUH131077:FUH131182 GED131077:GED131182 GNZ131077:GNZ131182 GXV131077:GXV131182 HHR131077:HHR131182 HRN131077:HRN131182 IBJ131077:IBJ131182 ILF131077:ILF131182 IVB131077:IVB131182 JEX131077:JEX131182 JOT131077:JOT131182 JYP131077:JYP131182 KIL131077:KIL131182 KSH131077:KSH131182 LCD131077:LCD131182 LLZ131077:LLZ131182 LVV131077:LVV131182 MFR131077:MFR131182 MPN131077:MPN131182 MZJ131077:MZJ131182 NJF131077:NJF131182 NTB131077:NTB131182 OCX131077:OCX131182 OMT131077:OMT131182 OWP131077:OWP131182 PGL131077:PGL131182 PQH131077:PQH131182 QAD131077:QAD131182 QJZ131077:QJZ131182 QTV131077:QTV131182 RDR131077:RDR131182 RNN131077:RNN131182 RXJ131077:RXJ131182 SHF131077:SHF131182 SRB131077:SRB131182 TAX131077:TAX131182 TKT131077:TKT131182 TUP131077:TUP131182 UEL131077:UEL131182 UOH131077:UOH131182 UYD131077:UYD131182 VHZ131077:VHZ131182 VRV131077:VRV131182 WBR131077:WBR131182 WLN131077:WLN131182 WVJ131077:WVJ131182 B196613:B196718 IX196613:IX196718 ST196613:ST196718 ACP196613:ACP196718 AML196613:AML196718 AWH196613:AWH196718 BGD196613:BGD196718 BPZ196613:BPZ196718 BZV196613:BZV196718 CJR196613:CJR196718 CTN196613:CTN196718 DDJ196613:DDJ196718 DNF196613:DNF196718 DXB196613:DXB196718 EGX196613:EGX196718 EQT196613:EQT196718 FAP196613:FAP196718 FKL196613:FKL196718 FUH196613:FUH196718 GED196613:GED196718 GNZ196613:GNZ196718 GXV196613:GXV196718 HHR196613:HHR196718 HRN196613:HRN196718 IBJ196613:IBJ196718 ILF196613:ILF196718 IVB196613:IVB196718 JEX196613:JEX196718 JOT196613:JOT196718 JYP196613:JYP196718 KIL196613:KIL196718 KSH196613:KSH196718 LCD196613:LCD196718 LLZ196613:LLZ196718 LVV196613:LVV196718 MFR196613:MFR196718 MPN196613:MPN196718 MZJ196613:MZJ196718 NJF196613:NJF196718 NTB196613:NTB196718 OCX196613:OCX196718 OMT196613:OMT196718 OWP196613:OWP196718 PGL196613:PGL196718 PQH196613:PQH196718 QAD196613:QAD196718 QJZ196613:QJZ196718 QTV196613:QTV196718 RDR196613:RDR196718 RNN196613:RNN196718 RXJ196613:RXJ196718 SHF196613:SHF196718 SRB196613:SRB196718 TAX196613:TAX196718 TKT196613:TKT196718 TUP196613:TUP196718 UEL196613:UEL196718 UOH196613:UOH196718 UYD196613:UYD196718 VHZ196613:VHZ196718 VRV196613:VRV196718 WBR196613:WBR196718 WLN196613:WLN196718 WVJ196613:WVJ196718 B262149:B262254 IX262149:IX262254 ST262149:ST262254 ACP262149:ACP262254 AML262149:AML262254 AWH262149:AWH262254 BGD262149:BGD262254 BPZ262149:BPZ262254 BZV262149:BZV262254 CJR262149:CJR262254 CTN262149:CTN262254 DDJ262149:DDJ262254 DNF262149:DNF262254 DXB262149:DXB262254 EGX262149:EGX262254 EQT262149:EQT262254 FAP262149:FAP262254 FKL262149:FKL262254 FUH262149:FUH262254 GED262149:GED262254 GNZ262149:GNZ262254 GXV262149:GXV262254 HHR262149:HHR262254 HRN262149:HRN262254 IBJ262149:IBJ262254 ILF262149:ILF262254 IVB262149:IVB262254 JEX262149:JEX262254 JOT262149:JOT262254 JYP262149:JYP262254 KIL262149:KIL262254 KSH262149:KSH262254 LCD262149:LCD262254 LLZ262149:LLZ262254 LVV262149:LVV262254 MFR262149:MFR262254 MPN262149:MPN262254 MZJ262149:MZJ262254 NJF262149:NJF262254 NTB262149:NTB262254 OCX262149:OCX262254 OMT262149:OMT262254 OWP262149:OWP262254 PGL262149:PGL262254 PQH262149:PQH262254 QAD262149:QAD262254 QJZ262149:QJZ262254 QTV262149:QTV262254 RDR262149:RDR262254 RNN262149:RNN262254 RXJ262149:RXJ262254 SHF262149:SHF262254 SRB262149:SRB262254 TAX262149:TAX262254 TKT262149:TKT262254 TUP262149:TUP262254 UEL262149:UEL262254 UOH262149:UOH262254 UYD262149:UYD262254 VHZ262149:VHZ262254 VRV262149:VRV262254 WBR262149:WBR262254 WLN262149:WLN262254 WVJ262149:WVJ262254 B327685:B327790 IX327685:IX327790 ST327685:ST327790 ACP327685:ACP327790 AML327685:AML327790 AWH327685:AWH327790 BGD327685:BGD327790 BPZ327685:BPZ327790 BZV327685:BZV327790 CJR327685:CJR327790 CTN327685:CTN327790 DDJ327685:DDJ327790 DNF327685:DNF327790 DXB327685:DXB327790 EGX327685:EGX327790 EQT327685:EQT327790 FAP327685:FAP327790 FKL327685:FKL327790 FUH327685:FUH327790 GED327685:GED327790 GNZ327685:GNZ327790 GXV327685:GXV327790 HHR327685:HHR327790 HRN327685:HRN327790 IBJ327685:IBJ327790 ILF327685:ILF327790 IVB327685:IVB327790 JEX327685:JEX327790 JOT327685:JOT327790 JYP327685:JYP327790 KIL327685:KIL327790 KSH327685:KSH327790 LCD327685:LCD327790 LLZ327685:LLZ327790 LVV327685:LVV327790 MFR327685:MFR327790 MPN327685:MPN327790 MZJ327685:MZJ327790 NJF327685:NJF327790 NTB327685:NTB327790 OCX327685:OCX327790 OMT327685:OMT327790 OWP327685:OWP327790 PGL327685:PGL327790 PQH327685:PQH327790 QAD327685:QAD327790 QJZ327685:QJZ327790 QTV327685:QTV327790 RDR327685:RDR327790 RNN327685:RNN327790 RXJ327685:RXJ327790 SHF327685:SHF327790 SRB327685:SRB327790 TAX327685:TAX327790 TKT327685:TKT327790 TUP327685:TUP327790 UEL327685:UEL327790 UOH327685:UOH327790 UYD327685:UYD327790 VHZ327685:VHZ327790 VRV327685:VRV327790 WBR327685:WBR327790 WLN327685:WLN327790 WVJ327685:WVJ327790 B393221:B393326 IX393221:IX393326 ST393221:ST393326 ACP393221:ACP393326 AML393221:AML393326 AWH393221:AWH393326 BGD393221:BGD393326 BPZ393221:BPZ393326 BZV393221:BZV393326 CJR393221:CJR393326 CTN393221:CTN393326 DDJ393221:DDJ393326 DNF393221:DNF393326 DXB393221:DXB393326 EGX393221:EGX393326 EQT393221:EQT393326 FAP393221:FAP393326 FKL393221:FKL393326 FUH393221:FUH393326 GED393221:GED393326 GNZ393221:GNZ393326 GXV393221:GXV393326 HHR393221:HHR393326 HRN393221:HRN393326 IBJ393221:IBJ393326 ILF393221:ILF393326 IVB393221:IVB393326 JEX393221:JEX393326 JOT393221:JOT393326 JYP393221:JYP393326 KIL393221:KIL393326 KSH393221:KSH393326 LCD393221:LCD393326 LLZ393221:LLZ393326 LVV393221:LVV393326 MFR393221:MFR393326 MPN393221:MPN393326 MZJ393221:MZJ393326 NJF393221:NJF393326 NTB393221:NTB393326 OCX393221:OCX393326 OMT393221:OMT393326 OWP393221:OWP393326 PGL393221:PGL393326 PQH393221:PQH393326 QAD393221:QAD393326 QJZ393221:QJZ393326 QTV393221:QTV393326 RDR393221:RDR393326 RNN393221:RNN393326 RXJ393221:RXJ393326 SHF393221:SHF393326 SRB393221:SRB393326 TAX393221:TAX393326 TKT393221:TKT393326 TUP393221:TUP393326 UEL393221:UEL393326 UOH393221:UOH393326 UYD393221:UYD393326 VHZ393221:VHZ393326 VRV393221:VRV393326 WBR393221:WBR393326 WLN393221:WLN393326 WVJ393221:WVJ393326 B458757:B458862 IX458757:IX458862 ST458757:ST458862 ACP458757:ACP458862 AML458757:AML458862 AWH458757:AWH458862 BGD458757:BGD458862 BPZ458757:BPZ458862 BZV458757:BZV458862 CJR458757:CJR458862 CTN458757:CTN458862 DDJ458757:DDJ458862 DNF458757:DNF458862 DXB458757:DXB458862 EGX458757:EGX458862 EQT458757:EQT458862 FAP458757:FAP458862 FKL458757:FKL458862 FUH458757:FUH458862 GED458757:GED458862 GNZ458757:GNZ458862 GXV458757:GXV458862 HHR458757:HHR458862 HRN458757:HRN458862 IBJ458757:IBJ458862 ILF458757:ILF458862 IVB458757:IVB458862 JEX458757:JEX458862 JOT458757:JOT458862 JYP458757:JYP458862 KIL458757:KIL458862 KSH458757:KSH458862 LCD458757:LCD458862 LLZ458757:LLZ458862 LVV458757:LVV458862 MFR458757:MFR458862 MPN458757:MPN458862 MZJ458757:MZJ458862 NJF458757:NJF458862 NTB458757:NTB458862 OCX458757:OCX458862 OMT458757:OMT458862 OWP458757:OWP458862 PGL458757:PGL458862 PQH458757:PQH458862 QAD458757:QAD458862 QJZ458757:QJZ458862 QTV458757:QTV458862 RDR458757:RDR458862 RNN458757:RNN458862 RXJ458757:RXJ458862 SHF458757:SHF458862 SRB458757:SRB458862 TAX458757:TAX458862 TKT458757:TKT458862 TUP458757:TUP458862 UEL458757:UEL458862 UOH458757:UOH458862 UYD458757:UYD458862 VHZ458757:VHZ458862 VRV458757:VRV458862 WBR458757:WBR458862 WLN458757:WLN458862 WVJ458757:WVJ458862 B524293:B524398 IX524293:IX524398 ST524293:ST524398 ACP524293:ACP524398 AML524293:AML524398 AWH524293:AWH524398 BGD524293:BGD524398 BPZ524293:BPZ524398 BZV524293:BZV524398 CJR524293:CJR524398 CTN524293:CTN524398 DDJ524293:DDJ524398 DNF524293:DNF524398 DXB524293:DXB524398 EGX524293:EGX524398 EQT524293:EQT524398 FAP524293:FAP524398 FKL524293:FKL524398 FUH524293:FUH524398 GED524293:GED524398 GNZ524293:GNZ524398 GXV524293:GXV524398 HHR524293:HHR524398 HRN524293:HRN524398 IBJ524293:IBJ524398 ILF524293:ILF524398 IVB524293:IVB524398 JEX524293:JEX524398 JOT524293:JOT524398 JYP524293:JYP524398 KIL524293:KIL524398 KSH524293:KSH524398 LCD524293:LCD524398 LLZ524293:LLZ524398 LVV524293:LVV524398 MFR524293:MFR524398 MPN524293:MPN524398 MZJ524293:MZJ524398 NJF524293:NJF524398 NTB524293:NTB524398 OCX524293:OCX524398 OMT524293:OMT524398 OWP524293:OWP524398 PGL524293:PGL524398 PQH524293:PQH524398 QAD524293:QAD524398 QJZ524293:QJZ524398 QTV524293:QTV524398 RDR524293:RDR524398 RNN524293:RNN524398 RXJ524293:RXJ524398 SHF524293:SHF524398 SRB524293:SRB524398 TAX524293:TAX524398 TKT524293:TKT524398 TUP524293:TUP524398 UEL524293:UEL524398 UOH524293:UOH524398 UYD524293:UYD524398 VHZ524293:VHZ524398 VRV524293:VRV524398 WBR524293:WBR524398 WLN524293:WLN524398 WVJ524293:WVJ524398 B589829:B589934 IX589829:IX589934 ST589829:ST589934 ACP589829:ACP589934 AML589829:AML589934 AWH589829:AWH589934 BGD589829:BGD589934 BPZ589829:BPZ589934 BZV589829:BZV589934 CJR589829:CJR589934 CTN589829:CTN589934 DDJ589829:DDJ589934 DNF589829:DNF589934 DXB589829:DXB589934 EGX589829:EGX589934 EQT589829:EQT589934 FAP589829:FAP589934 FKL589829:FKL589934 FUH589829:FUH589934 GED589829:GED589934 GNZ589829:GNZ589934 GXV589829:GXV589934 HHR589829:HHR589934 HRN589829:HRN589934 IBJ589829:IBJ589934 ILF589829:ILF589934 IVB589829:IVB589934 JEX589829:JEX589934 JOT589829:JOT589934 JYP589829:JYP589934 KIL589829:KIL589934 KSH589829:KSH589934 LCD589829:LCD589934 LLZ589829:LLZ589934 LVV589829:LVV589934 MFR589829:MFR589934 MPN589829:MPN589934 MZJ589829:MZJ589934 NJF589829:NJF589934 NTB589829:NTB589934 OCX589829:OCX589934 OMT589829:OMT589934 OWP589829:OWP589934 PGL589829:PGL589934 PQH589829:PQH589934 QAD589829:QAD589934 QJZ589829:QJZ589934 QTV589829:QTV589934 RDR589829:RDR589934 RNN589829:RNN589934 RXJ589829:RXJ589934 SHF589829:SHF589934 SRB589829:SRB589934 TAX589829:TAX589934 TKT589829:TKT589934 TUP589829:TUP589934 UEL589829:UEL589934 UOH589829:UOH589934 UYD589829:UYD589934 VHZ589829:VHZ589934 VRV589829:VRV589934 WBR589829:WBR589934 WLN589829:WLN589934 WVJ589829:WVJ589934 B655365:B655470 IX655365:IX655470 ST655365:ST655470 ACP655365:ACP655470 AML655365:AML655470 AWH655365:AWH655470 BGD655365:BGD655470 BPZ655365:BPZ655470 BZV655365:BZV655470 CJR655365:CJR655470 CTN655365:CTN655470 DDJ655365:DDJ655470 DNF655365:DNF655470 DXB655365:DXB655470 EGX655365:EGX655470 EQT655365:EQT655470 FAP655365:FAP655470 FKL655365:FKL655470 FUH655365:FUH655470 GED655365:GED655470 GNZ655365:GNZ655470 GXV655365:GXV655470 HHR655365:HHR655470 HRN655365:HRN655470 IBJ655365:IBJ655470 ILF655365:ILF655470 IVB655365:IVB655470 JEX655365:JEX655470 JOT655365:JOT655470 JYP655365:JYP655470 KIL655365:KIL655470 KSH655365:KSH655470 LCD655365:LCD655470 LLZ655365:LLZ655470 LVV655365:LVV655470 MFR655365:MFR655470 MPN655365:MPN655470 MZJ655365:MZJ655470 NJF655365:NJF655470 NTB655365:NTB655470 OCX655365:OCX655470 OMT655365:OMT655470 OWP655365:OWP655470 PGL655365:PGL655470 PQH655365:PQH655470 QAD655365:QAD655470 QJZ655365:QJZ655470 QTV655365:QTV655470 RDR655365:RDR655470 RNN655365:RNN655470 RXJ655365:RXJ655470 SHF655365:SHF655470 SRB655365:SRB655470 TAX655365:TAX655470 TKT655365:TKT655470 TUP655365:TUP655470 UEL655365:UEL655470 UOH655365:UOH655470 UYD655365:UYD655470 VHZ655365:VHZ655470 VRV655365:VRV655470 WBR655365:WBR655470 WLN655365:WLN655470 WVJ655365:WVJ655470 B720901:B721006 IX720901:IX721006 ST720901:ST721006 ACP720901:ACP721006 AML720901:AML721006 AWH720901:AWH721006 BGD720901:BGD721006 BPZ720901:BPZ721006 BZV720901:BZV721006 CJR720901:CJR721006 CTN720901:CTN721006 DDJ720901:DDJ721006 DNF720901:DNF721006 DXB720901:DXB721006 EGX720901:EGX721006 EQT720901:EQT721006 FAP720901:FAP721006 FKL720901:FKL721006 FUH720901:FUH721006 GED720901:GED721006 GNZ720901:GNZ721006 GXV720901:GXV721006 HHR720901:HHR721006 HRN720901:HRN721006 IBJ720901:IBJ721006 ILF720901:ILF721006 IVB720901:IVB721006 JEX720901:JEX721006 JOT720901:JOT721006 JYP720901:JYP721006 KIL720901:KIL721006 KSH720901:KSH721006 LCD720901:LCD721006 LLZ720901:LLZ721006 LVV720901:LVV721006 MFR720901:MFR721006 MPN720901:MPN721006 MZJ720901:MZJ721006 NJF720901:NJF721006 NTB720901:NTB721006 OCX720901:OCX721006 OMT720901:OMT721006 OWP720901:OWP721006 PGL720901:PGL721006 PQH720901:PQH721006 QAD720901:QAD721006 QJZ720901:QJZ721006 QTV720901:QTV721006 RDR720901:RDR721006 RNN720901:RNN721006 RXJ720901:RXJ721006 SHF720901:SHF721006 SRB720901:SRB721006 TAX720901:TAX721006 TKT720901:TKT721006 TUP720901:TUP721006 UEL720901:UEL721006 UOH720901:UOH721006 UYD720901:UYD721006 VHZ720901:VHZ721006 VRV720901:VRV721006 WBR720901:WBR721006 WLN720901:WLN721006 WVJ720901:WVJ721006 B786437:B786542 IX786437:IX786542 ST786437:ST786542 ACP786437:ACP786542 AML786437:AML786542 AWH786437:AWH786542 BGD786437:BGD786542 BPZ786437:BPZ786542 BZV786437:BZV786542 CJR786437:CJR786542 CTN786437:CTN786542 DDJ786437:DDJ786542 DNF786437:DNF786542 DXB786437:DXB786542 EGX786437:EGX786542 EQT786437:EQT786542 FAP786437:FAP786542 FKL786437:FKL786542 FUH786437:FUH786542 GED786437:GED786542 GNZ786437:GNZ786542 GXV786437:GXV786542 HHR786437:HHR786542 HRN786437:HRN786542 IBJ786437:IBJ786542 ILF786437:ILF786542 IVB786437:IVB786542 JEX786437:JEX786542 JOT786437:JOT786542 JYP786437:JYP786542 KIL786437:KIL786542 KSH786437:KSH786542 LCD786437:LCD786542 LLZ786437:LLZ786542 LVV786437:LVV786542 MFR786437:MFR786542 MPN786437:MPN786542 MZJ786437:MZJ786542 NJF786437:NJF786542 NTB786437:NTB786542 OCX786437:OCX786542 OMT786437:OMT786542 OWP786437:OWP786542 PGL786437:PGL786542 PQH786437:PQH786542 QAD786437:QAD786542 QJZ786437:QJZ786542 QTV786437:QTV786542 RDR786437:RDR786542 RNN786437:RNN786542 RXJ786437:RXJ786542 SHF786437:SHF786542 SRB786437:SRB786542 TAX786437:TAX786542 TKT786437:TKT786542 TUP786437:TUP786542 UEL786437:UEL786542 UOH786437:UOH786542 UYD786437:UYD786542 VHZ786437:VHZ786542 VRV786437:VRV786542 WBR786437:WBR786542 WLN786437:WLN786542 WVJ786437:WVJ786542 B851973:B852078 IX851973:IX852078 ST851973:ST852078 ACP851973:ACP852078 AML851973:AML852078 AWH851973:AWH852078 BGD851973:BGD852078 BPZ851973:BPZ852078 BZV851973:BZV852078 CJR851973:CJR852078 CTN851973:CTN852078 DDJ851973:DDJ852078 DNF851973:DNF852078 DXB851973:DXB852078 EGX851973:EGX852078 EQT851973:EQT852078 FAP851973:FAP852078 FKL851973:FKL852078 FUH851973:FUH852078 GED851973:GED852078 GNZ851973:GNZ852078 GXV851973:GXV852078 HHR851973:HHR852078 HRN851973:HRN852078 IBJ851973:IBJ852078 ILF851973:ILF852078 IVB851973:IVB852078 JEX851973:JEX852078 JOT851973:JOT852078 JYP851973:JYP852078 KIL851973:KIL852078 KSH851973:KSH852078 LCD851973:LCD852078 LLZ851973:LLZ852078 LVV851973:LVV852078 MFR851973:MFR852078 MPN851973:MPN852078 MZJ851973:MZJ852078 NJF851973:NJF852078 NTB851973:NTB852078 OCX851973:OCX852078 OMT851973:OMT852078 OWP851973:OWP852078 PGL851973:PGL852078 PQH851973:PQH852078 QAD851973:QAD852078 QJZ851973:QJZ852078 QTV851973:QTV852078 RDR851973:RDR852078 RNN851973:RNN852078 RXJ851973:RXJ852078 SHF851973:SHF852078 SRB851973:SRB852078 TAX851973:TAX852078 TKT851973:TKT852078 TUP851973:TUP852078 UEL851973:UEL852078 UOH851973:UOH852078 UYD851973:UYD852078 VHZ851973:VHZ852078 VRV851973:VRV852078 WBR851973:WBR852078 WLN851973:WLN852078 WVJ851973:WVJ852078 B917509:B917614 IX917509:IX917614 ST917509:ST917614 ACP917509:ACP917614 AML917509:AML917614 AWH917509:AWH917614 BGD917509:BGD917614 BPZ917509:BPZ917614 BZV917509:BZV917614 CJR917509:CJR917614 CTN917509:CTN917614 DDJ917509:DDJ917614 DNF917509:DNF917614 DXB917509:DXB917614 EGX917509:EGX917614 EQT917509:EQT917614 FAP917509:FAP917614 FKL917509:FKL917614 FUH917509:FUH917614 GED917509:GED917614 GNZ917509:GNZ917614 GXV917509:GXV917614 HHR917509:HHR917614 HRN917509:HRN917614 IBJ917509:IBJ917614 ILF917509:ILF917614 IVB917509:IVB917614 JEX917509:JEX917614 JOT917509:JOT917614 JYP917509:JYP917614 KIL917509:KIL917614 KSH917509:KSH917614 LCD917509:LCD917614 LLZ917509:LLZ917614 LVV917509:LVV917614 MFR917509:MFR917614 MPN917509:MPN917614 MZJ917509:MZJ917614 NJF917509:NJF917614 NTB917509:NTB917614 OCX917509:OCX917614 OMT917509:OMT917614 OWP917509:OWP917614 PGL917509:PGL917614 PQH917509:PQH917614 QAD917509:QAD917614 QJZ917509:QJZ917614 QTV917509:QTV917614 RDR917509:RDR917614 RNN917509:RNN917614 RXJ917509:RXJ917614 SHF917509:SHF917614 SRB917509:SRB917614 TAX917509:TAX917614 TKT917509:TKT917614 TUP917509:TUP917614 UEL917509:UEL917614 UOH917509:UOH917614 UYD917509:UYD917614 VHZ917509:VHZ917614 VRV917509:VRV917614 WBR917509:WBR917614 WLN917509:WLN917614 WVJ917509:WVJ917614 B983045:B983150 IX983045:IX983150 ST983045:ST983150 ACP983045:ACP983150 AML983045:AML983150 AWH983045:AWH983150 BGD983045:BGD983150 BPZ983045:BPZ983150 BZV983045:BZV983150 CJR983045:CJR983150 CTN983045:CTN983150 DDJ983045:DDJ983150 DNF983045:DNF983150 DXB983045:DXB983150 EGX983045:EGX983150 EQT983045:EQT983150 FAP983045:FAP983150 FKL983045:FKL983150 FUH983045:FUH983150 GED983045:GED983150 GNZ983045:GNZ983150 GXV983045:GXV983150 HHR983045:HHR983150 HRN983045:HRN983150 IBJ983045:IBJ983150 ILF983045:ILF983150 IVB983045:IVB983150 JEX983045:JEX983150 JOT983045:JOT983150 JYP983045:JYP983150 KIL983045:KIL983150 KSH983045:KSH983150 LCD983045:LCD983150 LLZ983045:LLZ983150 LVV983045:LVV983150 MFR983045:MFR983150 MPN983045:MPN983150 MZJ983045:MZJ983150 NJF983045:NJF983150 NTB983045:NTB983150 OCX983045:OCX983150 OMT983045:OMT983150 OWP983045:OWP983150 PGL983045:PGL983150 PQH983045:PQH983150 QAD983045:QAD983150 QJZ983045:QJZ983150 QTV983045:QTV983150 RDR983045:RDR983150 RNN983045:RNN983150 RXJ983045:RXJ983150 SHF983045:SHF983150 SRB983045:SRB983150 TAX983045:TAX983150 TKT983045:TKT983150 TUP983045:TUP983150 UEL983045:UEL983150 UOH983045:UOH983150 UYD983045:UYD983150 VHZ983045:VHZ983150 VRV983045:VRV983150 WBR983045:WBR983150 WLN983045:WLN983150" xr:uid="{F767FCF0-4F6F-4AEF-B204-B8AA309AFA0D}">
      <formula1>IF(ISBLANK(C5),Z_NC_ACTIONS,OFFSET(Z_NC_ACTIONS_START,1,(MATCH(C5,Z_NC_OBJECTS,0)-0),INDEX(Z_NC_ACTIONS_QTY,(MATCH(C5,Z_NC_OBJECTS,0))),1))</formula1>
    </dataValidation>
    <dataValidation type="list" allowBlank="1" showInputMessage="1" showErrorMessage="1" sqref="WVK983045:WVK983150 IY5:IY110 SU5:SU110 ACQ5:ACQ110 AMM5:AMM110 AWI5:AWI110 BGE5:BGE110 BQA5:BQA110 BZW5:BZW110 CJS5:CJS110 CTO5:CTO110 DDK5:DDK110 DNG5:DNG110 DXC5:DXC110 EGY5:EGY110 EQU5:EQU110 FAQ5:FAQ110 FKM5:FKM110 FUI5:FUI110 GEE5:GEE110 GOA5:GOA110 GXW5:GXW110 HHS5:HHS110 HRO5:HRO110 IBK5:IBK110 ILG5:ILG110 IVC5:IVC110 JEY5:JEY110 JOU5:JOU110 JYQ5:JYQ110 KIM5:KIM110 KSI5:KSI110 LCE5:LCE110 LMA5:LMA110 LVW5:LVW110 MFS5:MFS110 MPO5:MPO110 MZK5:MZK110 NJG5:NJG110 NTC5:NTC110 OCY5:OCY110 OMU5:OMU110 OWQ5:OWQ110 PGM5:PGM110 PQI5:PQI110 QAE5:QAE110 QKA5:QKA110 QTW5:QTW110 RDS5:RDS110 RNO5:RNO110 RXK5:RXK110 SHG5:SHG110 SRC5:SRC110 TAY5:TAY110 TKU5:TKU110 TUQ5:TUQ110 UEM5:UEM110 UOI5:UOI110 UYE5:UYE110 VIA5:VIA110 VRW5:VRW110 WBS5:WBS110 WLO5:WLO110 WVK5:WVK110 C65541:C65646 IY65541:IY65646 SU65541:SU65646 ACQ65541:ACQ65646 AMM65541:AMM65646 AWI65541:AWI65646 BGE65541:BGE65646 BQA65541:BQA65646 BZW65541:BZW65646 CJS65541:CJS65646 CTO65541:CTO65646 DDK65541:DDK65646 DNG65541:DNG65646 DXC65541:DXC65646 EGY65541:EGY65646 EQU65541:EQU65646 FAQ65541:FAQ65646 FKM65541:FKM65646 FUI65541:FUI65646 GEE65541:GEE65646 GOA65541:GOA65646 GXW65541:GXW65646 HHS65541:HHS65646 HRO65541:HRO65646 IBK65541:IBK65646 ILG65541:ILG65646 IVC65541:IVC65646 JEY65541:JEY65646 JOU65541:JOU65646 JYQ65541:JYQ65646 KIM65541:KIM65646 KSI65541:KSI65646 LCE65541:LCE65646 LMA65541:LMA65646 LVW65541:LVW65646 MFS65541:MFS65646 MPO65541:MPO65646 MZK65541:MZK65646 NJG65541:NJG65646 NTC65541:NTC65646 OCY65541:OCY65646 OMU65541:OMU65646 OWQ65541:OWQ65646 PGM65541:PGM65646 PQI65541:PQI65646 QAE65541:QAE65646 QKA65541:QKA65646 QTW65541:QTW65646 RDS65541:RDS65646 RNO65541:RNO65646 RXK65541:RXK65646 SHG65541:SHG65646 SRC65541:SRC65646 TAY65541:TAY65646 TKU65541:TKU65646 TUQ65541:TUQ65646 UEM65541:UEM65646 UOI65541:UOI65646 UYE65541:UYE65646 VIA65541:VIA65646 VRW65541:VRW65646 WBS65541:WBS65646 WLO65541:WLO65646 WVK65541:WVK65646 C131077:C131182 IY131077:IY131182 SU131077:SU131182 ACQ131077:ACQ131182 AMM131077:AMM131182 AWI131077:AWI131182 BGE131077:BGE131182 BQA131077:BQA131182 BZW131077:BZW131182 CJS131077:CJS131182 CTO131077:CTO131182 DDK131077:DDK131182 DNG131077:DNG131182 DXC131077:DXC131182 EGY131077:EGY131182 EQU131077:EQU131182 FAQ131077:FAQ131182 FKM131077:FKM131182 FUI131077:FUI131182 GEE131077:GEE131182 GOA131077:GOA131182 GXW131077:GXW131182 HHS131077:HHS131182 HRO131077:HRO131182 IBK131077:IBK131182 ILG131077:ILG131182 IVC131077:IVC131182 JEY131077:JEY131182 JOU131077:JOU131182 JYQ131077:JYQ131182 KIM131077:KIM131182 KSI131077:KSI131182 LCE131077:LCE131182 LMA131077:LMA131182 LVW131077:LVW131182 MFS131077:MFS131182 MPO131077:MPO131182 MZK131077:MZK131182 NJG131077:NJG131182 NTC131077:NTC131182 OCY131077:OCY131182 OMU131077:OMU131182 OWQ131077:OWQ131182 PGM131077:PGM131182 PQI131077:PQI131182 QAE131077:QAE131182 QKA131077:QKA131182 QTW131077:QTW131182 RDS131077:RDS131182 RNO131077:RNO131182 RXK131077:RXK131182 SHG131077:SHG131182 SRC131077:SRC131182 TAY131077:TAY131182 TKU131077:TKU131182 TUQ131077:TUQ131182 UEM131077:UEM131182 UOI131077:UOI131182 UYE131077:UYE131182 VIA131077:VIA131182 VRW131077:VRW131182 WBS131077:WBS131182 WLO131077:WLO131182 WVK131077:WVK131182 C196613:C196718 IY196613:IY196718 SU196613:SU196718 ACQ196613:ACQ196718 AMM196613:AMM196718 AWI196613:AWI196718 BGE196613:BGE196718 BQA196613:BQA196718 BZW196613:BZW196718 CJS196613:CJS196718 CTO196613:CTO196718 DDK196613:DDK196718 DNG196613:DNG196718 DXC196613:DXC196718 EGY196613:EGY196718 EQU196613:EQU196718 FAQ196613:FAQ196718 FKM196613:FKM196718 FUI196613:FUI196718 GEE196613:GEE196718 GOA196613:GOA196718 GXW196613:GXW196718 HHS196613:HHS196718 HRO196613:HRO196718 IBK196613:IBK196718 ILG196613:ILG196718 IVC196613:IVC196718 JEY196613:JEY196718 JOU196613:JOU196718 JYQ196613:JYQ196718 KIM196613:KIM196718 KSI196613:KSI196718 LCE196613:LCE196718 LMA196613:LMA196718 LVW196613:LVW196718 MFS196613:MFS196718 MPO196613:MPO196718 MZK196613:MZK196718 NJG196613:NJG196718 NTC196613:NTC196718 OCY196613:OCY196718 OMU196613:OMU196718 OWQ196613:OWQ196718 PGM196613:PGM196718 PQI196613:PQI196718 QAE196613:QAE196718 QKA196613:QKA196718 QTW196613:QTW196718 RDS196613:RDS196718 RNO196613:RNO196718 RXK196613:RXK196718 SHG196613:SHG196718 SRC196613:SRC196718 TAY196613:TAY196718 TKU196613:TKU196718 TUQ196613:TUQ196718 UEM196613:UEM196718 UOI196613:UOI196718 UYE196613:UYE196718 VIA196613:VIA196718 VRW196613:VRW196718 WBS196613:WBS196718 WLO196613:WLO196718 WVK196613:WVK196718 C262149:C262254 IY262149:IY262254 SU262149:SU262254 ACQ262149:ACQ262254 AMM262149:AMM262254 AWI262149:AWI262254 BGE262149:BGE262254 BQA262149:BQA262254 BZW262149:BZW262254 CJS262149:CJS262254 CTO262149:CTO262254 DDK262149:DDK262254 DNG262149:DNG262254 DXC262149:DXC262254 EGY262149:EGY262254 EQU262149:EQU262254 FAQ262149:FAQ262254 FKM262149:FKM262254 FUI262149:FUI262254 GEE262149:GEE262254 GOA262149:GOA262254 GXW262149:GXW262254 HHS262149:HHS262254 HRO262149:HRO262254 IBK262149:IBK262254 ILG262149:ILG262254 IVC262149:IVC262254 JEY262149:JEY262254 JOU262149:JOU262254 JYQ262149:JYQ262254 KIM262149:KIM262254 KSI262149:KSI262254 LCE262149:LCE262254 LMA262149:LMA262254 LVW262149:LVW262254 MFS262149:MFS262254 MPO262149:MPO262254 MZK262149:MZK262254 NJG262149:NJG262254 NTC262149:NTC262254 OCY262149:OCY262254 OMU262149:OMU262254 OWQ262149:OWQ262254 PGM262149:PGM262254 PQI262149:PQI262254 QAE262149:QAE262254 QKA262149:QKA262254 QTW262149:QTW262254 RDS262149:RDS262254 RNO262149:RNO262254 RXK262149:RXK262254 SHG262149:SHG262254 SRC262149:SRC262254 TAY262149:TAY262254 TKU262149:TKU262254 TUQ262149:TUQ262254 UEM262149:UEM262254 UOI262149:UOI262254 UYE262149:UYE262254 VIA262149:VIA262254 VRW262149:VRW262254 WBS262149:WBS262254 WLO262149:WLO262254 WVK262149:WVK262254 C327685:C327790 IY327685:IY327790 SU327685:SU327790 ACQ327685:ACQ327790 AMM327685:AMM327790 AWI327685:AWI327790 BGE327685:BGE327790 BQA327685:BQA327790 BZW327685:BZW327790 CJS327685:CJS327790 CTO327685:CTO327790 DDK327685:DDK327790 DNG327685:DNG327790 DXC327685:DXC327790 EGY327685:EGY327790 EQU327685:EQU327790 FAQ327685:FAQ327790 FKM327685:FKM327790 FUI327685:FUI327790 GEE327685:GEE327790 GOA327685:GOA327790 GXW327685:GXW327790 HHS327685:HHS327790 HRO327685:HRO327790 IBK327685:IBK327790 ILG327685:ILG327790 IVC327685:IVC327790 JEY327685:JEY327790 JOU327685:JOU327790 JYQ327685:JYQ327790 KIM327685:KIM327790 KSI327685:KSI327790 LCE327685:LCE327790 LMA327685:LMA327790 LVW327685:LVW327790 MFS327685:MFS327790 MPO327685:MPO327790 MZK327685:MZK327790 NJG327685:NJG327790 NTC327685:NTC327790 OCY327685:OCY327790 OMU327685:OMU327790 OWQ327685:OWQ327790 PGM327685:PGM327790 PQI327685:PQI327790 QAE327685:QAE327790 QKA327685:QKA327790 QTW327685:QTW327790 RDS327685:RDS327790 RNO327685:RNO327790 RXK327685:RXK327790 SHG327685:SHG327790 SRC327685:SRC327790 TAY327685:TAY327790 TKU327685:TKU327790 TUQ327685:TUQ327790 UEM327685:UEM327790 UOI327685:UOI327790 UYE327685:UYE327790 VIA327685:VIA327790 VRW327685:VRW327790 WBS327685:WBS327790 WLO327685:WLO327790 WVK327685:WVK327790 C393221:C393326 IY393221:IY393326 SU393221:SU393326 ACQ393221:ACQ393326 AMM393221:AMM393326 AWI393221:AWI393326 BGE393221:BGE393326 BQA393221:BQA393326 BZW393221:BZW393326 CJS393221:CJS393326 CTO393221:CTO393326 DDK393221:DDK393326 DNG393221:DNG393326 DXC393221:DXC393326 EGY393221:EGY393326 EQU393221:EQU393326 FAQ393221:FAQ393326 FKM393221:FKM393326 FUI393221:FUI393326 GEE393221:GEE393326 GOA393221:GOA393326 GXW393221:GXW393326 HHS393221:HHS393326 HRO393221:HRO393326 IBK393221:IBK393326 ILG393221:ILG393326 IVC393221:IVC393326 JEY393221:JEY393326 JOU393221:JOU393326 JYQ393221:JYQ393326 KIM393221:KIM393326 KSI393221:KSI393326 LCE393221:LCE393326 LMA393221:LMA393326 LVW393221:LVW393326 MFS393221:MFS393326 MPO393221:MPO393326 MZK393221:MZK393326 NJG393221:NJG393326 NTC393221:NTC393326 OCY393221:OCY393326 OMU393221:OMU393326 OWQ393221:OWQ393326 PGM393221:PGM393326 PQI393221:PQI393326 QAE393221:QAE393326 QKA393221:QKA393326 QTW393221:QTW393326 RDS393221:RDS393326 RNO393221:RNO393326 RXK393221:RXK393326 SHG393221:SHG393326 SRC393221:SRC393326 TAY393221:TAY393326 TKU393221:TKU393326 TUQ393221:TUQ393326 UEM393221:UEM393326 UOI393221:UOI393326 UYE393221:UYE393326 VIA393221:VIA393326 VRW393221:VRW393326 WBS393221:WBS393326 WLO393221:WLO393326 WVK393221:WVK393326 C458757:C458862 IY458757:IY458862 SU458757:SU458862 ACQ458757:ACQ458862 AMM458757:AMM458862 AWI458757:AWI458862 BGE458757:BGE458862 BQA458757:BQA458862 BZW458757:BZW458862 CJS458757:CJS458862 CTO458757:CTO458862 DDK458757:DDK458862 DNG458757:DNG458862 DXC458757:DXC458862 EGY458757:EGY458862 EQU458757:EQU458862 FAQ458757:FAQ458862 FKM458757:FKM458862 FUI458757:FUI458862 GEE458757:GEE458862 GOA458757:GOA458862 GXW458757:GXW458862 HHS458757:HHS458862 HRO458757:HRO458862 IBK458757:IBK458862 ILG458757:ILG458862 IVC458757:IVC458862 JEY458757:JEY458862 JOU458757:JOU458862 JYQ458757:JYQ458862 KIM458757:KIM458862 KSI458757:KSI458862 LCE458757:LCE458862 LMA458757:LMA458862 LVW458757:LVW458862 MFS458757:MFS458862 MPO458757:MPO458862 MZK458757:MZK458862 NJG458757:NJG458862 NTC458757:NTC458862 OCY458757:OCY458862 OMU458757:OMU458862 OWQ458757:OWQ458862 PGM458757:PGM458862 PQI458757:PQI458862 QAE458757:QAE458862 QKA458757:QKA458862 QTW458757:QTW458862 RDS458757:RDS458862 RNO458757:RNO458862 RXK458757:RXK458862 SHG458757:SHG458862 SRC458757:SRC458862 TAY458757:TAY458862 TKU458757:TKU458862 TUQ458757:TUQ458862 UEM458757:UEM458862 UOI458757:UOI458862 UYE458757:UYE458862 VIA458757:VIA458862 VRW458757:VRW458862 WBS458757:WBS458862 WLO458757:WLO458862 WVK458757:WVK458862 C524293:C524398 IY524293:IY524398 SU524293:SU524398 ACQ524293:ACQ524398 AMM524293:AMM524398 AWI524293:AWI524398 BGE524293:BGE524398 BQA524293:BQA524398 BZW524293:BZW524398 CJS524293:CJS524398 CTO524293:CTO524398 DDK524293:DDK524398 DNG524293:DNG524398 DXC524293:DXC524398 EGY524293:EGY524398 EQU524293:EQU524398 FAQ524293:FAQ524398 FKM524293:FKM524398 FUI524293:FUI524398 GEE524293:GEE524398 GOA524293:GOA524398 GXW524293:GXW524398 HHS524293:HHS524398 HRO524293:HRO524398 IBK524293:IBK524398 ILG524293:ILG524398 IVC524293:IVC524398 JEY524293:JEY524398 JOU524293:JOU524398 JYQ524293:JYQ524398 KIM524293:KIM524398 KSI524293:KSI524398 LCE524293:LCE524398 LMA524293:LMA524398 LVW524293:LVW524398 MFS524293:MFS524398 MPO524293:MPO524398 MZK524293:MZK524398 NJG524293:NJG524398 NTC524293:NTC524398 OCY524293:OCY524398 OMU524293:OMU524398 OWQ524293:OWQ524398 PGM524293:PGM524398 PQI524293:PQI524398 QAE524293:QAE524398 QKA524293:QKA524398 QTW524293:QTW524398 RDS524293:RDS524398 RNO524293:RNO524398 RXK524293:RXK524398 SHG524293:SHG524398 SRC524293:SRC524398 TAY524293:TAY524398 TKU524293:TKU524398 TUQ524293:TUQ524398 UEM524293:UEM524398 UOI524293:UOI524398 UYE524293:UYE524398 VIA524293:VIA524398 VRW524293:VRW524398 WBS524293:WBS524398 WLO524293:WLO524398 WVK524293:WVK524398 C589829:C589934 IY589829:IY589934 SU589829:SU589934 ACQ589829:ACQ589934 AMM589829:AMM589934 AWI589829:AWI589934 BGE589829:BGE589934 BQA589829:BQA589934 BZW589829:BZW589934 CJS589829:CJS589934 CTO589829:CTO589934 DDK589829:DDK589934 DNG589829:DNG589934 DXC589829:DXC589934 EGY589829:EGY589934 EQU589829:EQU589934 FAQ589829:FAQ589934 FKM589829:FKM589934 FUI589829:FUI589934 GEE589829:GEE589934 GOA589829:GOA589934 GXW589829:GXW589934 HHS589829:HHS589934 HRO589829:HRO589934 IBK589829:IBK589934 ILG589829:ILG589934 IVC589829:IVC589934 JEY589829:JEY589934 JOU589829:JOU589934 JYQ589829:JYQ589934 KIM589829:KIM589934 KSI589829:KSI589934 LCE589829:LCE589934 LMA589829:LMA589934 LVW589829:LVW589934 MFS589829:MFS589934 MPO589829:MPO589934 MZK589829:MZK589934 NJG589829:NJG589934 NTC589829:NTC589934 OCY589829:OCY589934 OMU589829:OMU589934 OWQ589829:OWQ589934 PGM589829:PGM589934 PQI589829:PQI589934 QAE589829:QAE589934 QKA589829:QKA589934 QTW589829:QTW589934 RDS589829:RDS589934 RNO589829:RNO589934 RXK589829:RXK589934 SHG589829:SHG589934 SRC589829:SRC589934 TAY589829:TAY589934 TKU589829:TKU589934 TUQ589829:TUQ589934 UEM589829:UEM589934 UOI589829:UOI589934 UYE589829:UYE589934 VIA589829:VIA589934 VRW589829:VRW589934 WBS589829:WBS589934 WLO589829:WLO589934 WVK589829:WVK589934 C655365:C655470 IY655365:IY655470 SU655365:SU655470 ACQ655365:ACQ655470 AMM655365:AMM655470 AWI655365:AWI655470 BGE655365:BGE655470 BQA655365:BQA655470 BZW655365:BZW655470 CJS655365:CJS655470 CTO655365:CTO655470 DDK655365:DDK655470 DNG655365:DNG655470 DXC655365:DXC655470 EGY655365:EGY655470 EQU655365:EQU655470 FAQ655365:FAQ655470 FKM655365:FKM655470 FUI655365:FUI655470 GEE655365:GEE655470 GOA655365:GOA655470 GXW655365:GXW655470 HHS655365:HHS655470 HRO655365:HRO655470 IBK655365:IBK655470 ILG655365:ILG655470 IVC655365:IVC655470 JEY655365:JEY655470 JOU655365:JOU655470 JYQ655365:JYQ655470 KIM655365:KIM655470 KSI655365:KSI655470 LCE655365:LCE655470 LMA655365:LMA655470 LVW655365:LVW655470 MFS655365:MFS655470 MPO655365:MPO655470 MZK655365:MZK655470 NJG655365:NJG655470 NTC655365:NTC655470 OCY655365:OCY655470 OMU655365:OMU655470 OWQ655365:OWQ655470 PGM655365:PGM655470 PQI655365:PQI655470 QAE655365:QAE655470 QKA655365:QKA655470 QTW655365:QTW655470 RDS655365:RDS655470 RNO655365:RNO655470 RXK655365:RXK655470 SHG655365:SHG655470 SRC655365:SRC655470 TAY655365:TAY655470 TKU655365:TKU655470 TUQ655365:TUQ655470 UEM655365:UEM655470 UOI655365:UOI655470 UYE655365:UYE655470 VIA655365:VIA655470 VRW655365:VRW655470 WBS655365:WBS655470 WLO655365:WLO655470 WVK655365:WVK655470 C720901:C721006 IY720901:IY721006 SU720901:SU721006 ACQ720901:ACQ721006 AMM720901:AMM721006 AWI720901:AWI721006 BGE720901:BGE721006 BQA720901:BQA721006 BZW720901:BZW721006 CJS720901:CJS721006 CTO720901:CTO721006 DDK720901:DDK721006 DNG720901:DNG721006 DXC720901:DXC721006 EGY720901:EGY721006 EQU720901:EQU721006 FAQ720901:FAQ721006 FKM720901:FKM721006 FUI720901:FUI721006 GEE720901:GEE721006 GOA720901:GOA721006 GXW720901:GXW721006 HHS720901:HHS721006 HRO720901:HRO721006 IBK720901:IBK721006 ILG720901:ILG721006 IVC720901:IVC721006 JEY720901:JEY721006 JOU720901:JOU721006 JYQ720901:JYQ721006 KIM720901:KIM721006 KSI720901:KSI721006 LCE720901:LCE721006 LMA720901:LMA721006 LVW720901:LVW721006 MFS720901:MFS721006 MPO720901:MPO721006 MZK720901:MZK721006 NJG720901:NJG721006 NTC720901:NTC721006 OCY720901:OCY721006 OMU720901:OMU721006 OWQ720901:OWQ721006 PGM720901:PGM721006 PQI720901:PQI721006 QAE720901:QAE721006 QKA720901:QKA721006 QTW720901:QTW721006 RDS720901:RDS721006 RNO720901:RNO721006 RXK720901:RXK721006 SHG720901:SHG721006 SRC720901:SRC721006 TAY720901:TAY721006 TKU720901:TKU721006 TUQ720901:TUQ721006 UEM720901:UEM721006 UOI720901:UOI721006 UYE720901:UYE721006 VIA720901:VIA721006 VRW720901:VRW721006 WBS720901:WBS721006 WLO720901:WLO721006 WVK720901:WVK721006 C786437:C786542 IY786437:IY786542 SU786437:SU786542 ACQ786437:ACQ786542 AMM786437:AMM786542 AWI786437:AWI786542 BGE786437:BGE786542 BQA786437:BQA786542 BZW786437:BZW786542 CJS786437:CJS786542 CTO786437:CTO786542 DDK786437:DDK786542 DNG786437:DNG786542 DXC786437:DXC786542 EGY786437:EGY786542 EQU786437:EQU786542 FAQ786437:FAQ786542 FKM786437:FKM786542 FUI786437:FUI786542 GEE786437:GEE786542 GOA786437:GOA786542 GXW786437:GXW786542 HHS786437:HHS786542 HRO786437:HRO786542 IBK786437:IBK786542 ILG786437:ILG786542 IVC786437:IVC786542 JEY786437:JEY786542 JOU786437:JOU786542 JYQ786437:JYQ786542 KIM786437:KIM786542 KSI786437:KSI786542 LCE786437:LCE786542 LMA786437:LMA786542 LVW786437:LVW786542 MFS786437:MFS786542 MPO786437:MPO786542 MZK786437:MZK786542 NJG786437:NJG786542 NTC786437:NTC786542 OCY786437:OCY786542 OMU786437:OMU786542 OWQ786437:OWQ786542 PGM786437:PGM786542 PQI786437:PQI786542 QAE786437:QAE786542 QKA786437:QKA786542 QTW786437:QTW786542 RDS786437:RDS786542 RNO786437:RNO786542 RXK786437:RXK786542 SHG786437:SHG786542 SRC786437:SRC786542 TAY786437:TAY786542 TKU786437:TKU786542 TUQ786437:TUQ786542 UEM786437:UEM786542 UOI786437:UOI786542 UYE786437:UYE786542 VIA786437:VIA786542 VRW786437:VRW786542 WBS786437:WBS786542 WLO786437:WLO786542 WVK786437:WVK786542 C851973:C852078 IY851973:IY852078 SU851973:SU852078 ACQ851973:ACQ852078 AMM851973:AMM852078 AWI851973:AWI852078 BGE851973:BGE852078 BQA851973:BQA852078 BZW851973:BZW852078 CJS851973:CJS852078 CTO851973:CTO852078 DDK851973:DDK852078 DNG851973:DNG852078 DXC851973:DXC852078 EGY851973:EGY852078 EQU851973:EQU852078 FAQ851973:FAQ852078 FKM851973:FKM852078 FUI851973:FUI852078 GEE851973:GEE852078 GOA851973:GOA852078 GXW851973:GXW852078 HHS851973:HHS852078 HRO851973:HRO852078 IBK851973:IBK852078 ILG851973:ILG852078 IVC851973:IVC852078 JEY851973:JEY852078 JOU851973:JOU852078 JYQ851973:JYQ852078 KIM851973:KIM852078 KSI851973:KSI852078 LCE851973:LCE852078 LMA851973:LMA852078 LVW851973:LVW852078 MFS851973:MFS852078 MPO851973:MPO852078 MZK851973:MZK852078 NJG851973:NJG852078 NTC851973:NTC852078 OCY851973:OCY852078 OMU851973:OMU852078 OWQ851973:OWQ852078 PGM851973:PGM852078 PQI851973:PQI852078 QAE851973:QAE852078 QKA851973:QKA852078 QTW851973:QTW852078 RDS851973:RDS852078 RNO851973:RNO852078 RXK851973:RXK852078 SHG851973:SHG852078 SRC851973:SRC852078 TAY851973:TAY852078 TKU851973:TKU852078 TUQ851973:TUQ852078 UEM851973:UEM852078 UOI851973:UOI852078 UYE851973:UYE852078 VIA851973:VIA852078 VRW851973:VRW852078 WBS851973:WBS852078 WLO851973:WLO852078 WVK851973:WVK852078 C917509:C917614 IY917509:IY917614 SU917509:SU917614 ACQ917509:ACQ917614 AMM917509:AMM917614 AWI917509:AWI917614 BGE917509:BGE917614 BQA917509:BQA917614 BZW917509:BZW917614 CJS917509:CJS917614 CTO917509:CTO917614 DDK917509:DDK917614 DNG917509:DNG917614 DXC917509:DXC917614 EGY917509:EGY917614 EQU917509:EQU917614 FAQ917509:FAQ917614 FKM917509:FKM917614 FUI917509:FUI917614 GEE917509:GEE917614 GOA917509:GOA917614 GXW917509:GXW917614 HHS917509:HHS917614 HRO917509:HRO917614 IBK917509:IBK917614 ILG917509:ILG917614 IVC917509:IVC917614 JEY917509:JEY917614 JOU917509:JOU917614 JYQ917509:JYQ917614 KIM917509:KIM917614 KSI917509:KSI917614 LCE917509:LCE917614 LMA917509:LMA917614 LVW917509:LVW917614 MFS917509:MFS917614 MPO917509:MPO917614 MZK917509:MZK917614 NJG917509:NJG917614 NTC917509:NTC917614 OCY917509:OCY917614 OMU917509:OMU917614 OWQ917509:OWQ917614 PGM917509:PGM917614 PQI917509:PQI917614 QAE917509:QAE917614 QKA917509:QKA917614 QTW917509:QTW917614 RDS917509:RDS917614 RNO917509:RNO917614 RXK917509:RXK917614 SHG917509:SHG917614 SRC917509:SRC917614 TAY917509:TAY917614 TKU917509:TKU917614 TUQ917509:TUQ917614 UEM917509:UEM917614 UOI917509:UOI917614 UYE917509:UYE917614 VIA917509:VIA917614 VRW917509:VRW917614 WBS917509:WBS917614 WLO917509:WLO917614 WVK917509:WVK917614 C983045:C983150 IY983045:IY983150 SU983045:SU983150 ACQ983045:ACQ983150 AMM983045:AMM983150 AWI983045:AWI983150 BGE983045:BGE983150 BQA983045:BQA983150 BZW983045:BZW983150 CJS983045:CJS983150 CTO983045:CTO983150 DDK983045:DDK983150 DNG983045:DNG983150 DXC983045:DXC983150 EGY983045:EGY983150 EQU983045:EQU983150 FAQ983045:FAQ983150 FKM983045:FKM983150 FUI983045:FUI983150 GEE983045:GEE983150 GOA983045:GOA983150 GXW983045:GXW983150 HHS983045:HHS983150 HRO983045:HRO983150 IBK983045:IBK983150 ILG983045:ILG983150 IVC983045:IVC983150 JEY983045:JEY983150 JOU983045:JOU983150 JYQ983045:JYQ983150 KIM983045:KIM983150 KSI983045:KSI983150 LCE983045:LCE983150 LMA983045:LMA983150 LVW983045:LVW983150 MFS983045:MFS983150 MPO983045:MPO983150 MZK983045:MZK983150 NJG983045:NJG983150 NTC983045:NTC983150 OCY983045:OCY983150 OMU983045:OMU983150 OWQ983045:OWQ983150 PGM983045:PGM983150 PQI983045:PQI983150 QAE983045:QAE983150 QKA983045:QKA983150 QTW983045:QTW983150 RDS983045:RDS983150 RNO983045:RNO983150 RXK983045:RXK983150 SHG983045:SHG983150 SRC983045:SRC983150 TAY983045:TAY983150 TKU983045:TKU983150 TUQ983045:TUQ983150 UEM983045:UEM983150 UOI983045:UOI983150 UYE983045:UYE983150 VIA983045:VIA983150 VRW983045:VRW983150 WBS983045:WBS983150 WLO983045:WLO983150" xr:uid="{E47095C5-D026-4C46-ABFD-0319FA4BC0E8}">
      <formula1>IF(ISBLANK(B5),Z_NC_OBJECTS,OFFSET(Z_NC_OBJECTS_START,((MATCH(B5,Z_NC_ACTIONS,0))-0),1,1,INDEX(Z_NC_OBJECTS_QTY,(MATCH(B5,Z_NC_ACTIONS,0)))))</formula1>
    </dataValidation>
  </dataValidations>
  <hyperlinks>
    <hyperlink ref="A1" r:id="rId1" xr:uid="{4DD9A301-BDA5-4905-A113-B01BA2BD2A54}"/>
    <hyperlink ref="A2" location="NitroCELL_MAIN!A1" display="MAIN" xr:uid="{69FB9B5D-3E40-42F9-9155-B02B9C7C497E}"/>
  </hyperlinks>
  <pageMargins left="0.7" right="0.7" top="0.75" bottom="0.75" header="0.3" footer="0.3"/>
  <pageSetup orientation="portrait"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D0F7D-6668-44FF-8B1E-1EC8E41673C5}">
  <sheetPr>
    <tabColor rgb="FFFF0000"/>
  </sheetPr>
  <dimension ref="B2:ON402"/>
  <sheetViews>
    <sheetView workbookViewId="0">
      <selection activeCell="A7" sqref="A7"/>
    </sheetView>
  </sheetViews>
  <sheetFormatPr defaultRowHeight="15"/>
  <cols>
    <col min="2" max="2" width="40.7109375" bestFit="1" customWidth="1"/>
    <col min="3" max="3" width="35.5703125" bestFit="1" customWidth="1"/>
    <col min="4" max="4" width="52.140625" customWidth="1"/>
    <col min="5" max="5" width="41.5703125" customWidth="1"/>
    <col min="6" max="8" width="36.28515625" customWidth="1"/>
    <col min="9" max="9" width="17.85546875" customWidth="1"/>
    <col min="10" max="10" width="30" bestFit="1" customWidth="1"/>
    <col min="11" max="11" width="15.5703125" bestFit="1" customWidth="1"/>
    <col min="12" max="12" width="19" bestFit="1" customWidth="1"/>
    <col min="13" max="13" width="22.140625" bestFit="1" customWidth="1"/>
    <col min="14" max="14" width="25.7109375" bestFit="1" customWidth="1"/>
    <col min="15" max="15" width="17.5703125" bestFit="1" customWidth="1"/>
    <col min="16" max="16" width="21.140625" bestFit="1" customWidth="1"/>
    <col min="17" max="17" width="17.140625" bestFit="1" customWidth="1"/>
    <col min="18" max="18" width="20.7109375" bestFit="1" customWidth="1"/>
    <col min="19" max="19" width="25" bestFit="1" customWidth="1"/>
    <col min="20" max="20" width="28.5703125" bestFit="1" customWidth="1"/>
    <col min="21" max="21" width="15" bestFit="1" customWidth="1"/>
    <col min="22" max="22" width="18.5703125" bestFit="1" customWidth="1"/>
    <col min="23" max="23" width="18.42578125" bestFit="1" customWidth="1"/>
    <col min="24" max="24" width="22" bestFit="1" customWidth="1"/>
    <col min="25" max="25" width="21.42578125" bestFit="1" customWidth="1"/>
    <col min="26" max="26" width="22.7109375" bestFit="1" customWidth="1"/>
    <col min="27" max="27" width="24.7109375" bestFit="1" customWidth="1"/>
    <col min="28" max="28" width="19.85546875" bestFit="1" customWidth="1"/>
    <col min="29" max="29" width="23.28515625" bestFit="1" customWidth="1"/>
    <col min="30" max="30" width="24" bestFit="1" customWidth="1"/>
    <col min="31" max="31" width="30.140625" bestFit="1" customWidth="1"/>
    <col min="32" max="32" width="33.7109375" bestFit="1" customWidth="1"/>
    <col min="33" max="33" width="30" bestFit="1" customWidth="1"/>
    <col min="34" max="34" width="33.5703125" bestFit="1" customWidth="1"/>
    <col min="35" max="35" width="16.7109375" bestFit="1" customWidth="1"/>
    <col min="36" max="36" width="20.28515625" bestFit="1" customWidth="1"/>
    <col min="37" max="37" width="29.28515625" bestFit="1" customWidth="1"/>
    <col min="38" max="38" width="32.85546875" bestFit="1" customWidth="1"/>
    <col min="39" max="39" width="22.7109375" bestFit="1" customWidth="1"/>
    <col min="40" max="40" width="26.28515625" bestFit="1" customWidth="1"/>
    <col min="41" max="41" width="31.140625" bestFit="1" customWidth="1"/>
    <col min="42" max="42" width="34.7109375" bestFit="1" customWidth="1"/>
    <col min="43" max="43" width="22" bestFit="1" customWidth="1"/>
    <col min="44" max="44" width="25.5703125" bestFit="1" customWidth="1"/>
    <col min="45" max="45" width="27.5703125" bestFit="1" customWidth="1"/>
    <col min="46" max="46" width="31.140625" bestFit="1" customWidth="1"/>
    <col min="47" max="47" width="22" bestFit="1" customWidth="1"/>
    <col min="48" max="48" width="25.42578125" bestFit="1" customWidth="1"/>
    <col min="49" max="49" width="29" bestFit="1" customWidth="1"/>
    <col min="50" max="50" width="22" bestFit="1" customWidth="1"/>
    <col min="51" max="51" width="25.5703125" bestFit="1" customWidth="1"/>
    <col min="52" max="52" width="22.5703125" bestFit="1" customWidth="1"/>
    <col min="53" max="53" width="26.140625" bestFit="1" customWidth="1"/>
    <col min="54" max="54" width="31" bestFit="1" customWidth="1"/>
    <col min="55" max="55" width="34.5703125" bestFit="1" customWidth="1"/>
    <col min="56" max="56" width="28.42578125" bestFit="1" customWidth="1"/>
    <col min="57" max="57" width="32" bestFit="1" customWidth="1"/>
    <col min="58" max="58" width="33.5703125" bestFit="1" customWidth="1"/>
    <col min="59" max="59" width="37.140625" bestFit="1" customWidth="1"/>
    <col min="60" max="60" width="32.85546875" bestFit="1" customWidth="1"/>
    <col min="61" max="61" width="36.42578125" bestFit="1" customWidth="1"/>
    <col min="62" max="62" width="28.85546875" bestFit="1" customWidth="1"/>
    <col min="63" max="63" width="32.42578125" bestFit="1" customWidth="1"/>
    <col min="64" max="64" width="27.85546875" bestFit="1" customWidth="1"/>
    <col min="65" max="65" width="31.28515625" bestFit="1" customWidth="1"/>
    <col min="66" max="66" width="22.7109375" bestFit="1" customWidth="1"/>
    <col min="67" max="67" width="26.28515625" bestFit="1" customWidth="1"/>
    <col min="68" max="68" width="28.28515625" bestFit="1" customWidth="1"/>
    <col min="69" max="69" width="31.7109375" bestFit="1" customWidth="1"/>
    <col min="70" max="70" width="27.85546875" bestFit="1" customWidth="1"/>
    <col min="71" max="71" width="26" bestFit="1" customWidth="1"/>
    <col min="72" max="72" width="24.28515625" bestFit="1" customWidth="1"/>
    <col min="73" max="73" width="17.85546875" bestFit="1" customWidth="1"/>
    <col min="74" max="74" width="26.42578125" bestFit="1" customWidth="1"/>
    <col min="75" max="75" width="31" bestFit="1" customWidth="1"/>
    <col min="76" max="76" width="31.5703125" bestFit="1" customWidth="1"/>
    <col min="77" max="77" width="33.7109375" bestFit="1" customWidth="1"/>
    <col min="78" max="78" width="32" bestFit="1" customWidth="1"/>
    <col min="79" max="79" width="32.5703125" bestFit="1" customWidth="1"/>
    <col min="80" max="80" width="30.7109375" bestFit="1" customWidth="1"/>
    <col min="81" max="81" width="32.7109375" bestFit="1" customWidth="1"/>
    <col min="82" max="82" width="27.5703125" bestFit="1" customWidth="1"/>
    <col min="83" max="83" width="30.28515625" bestFit="1" customWidth="1"/>
    <col min="84" max="84" width="30" bestFit="1" customWidth="1"/>
    <col min="85" max="85" width="29.5703125" bestFit="1" customWidth="1"/>
    <col min="86" max="86" width="27.140625" bestFit="1" customWidth="1"/>
    <col min="87" max="87" width="26.7109375" bestFit="1" customWidth="1"/>
    <col min="88" max="88" width="31.28515625" bestFit="1" customWidth="1"/>
    <col min="89" max="89" width="30.7109375" bestFit="1" customWidth="1"/>
    <col min="90" max="90" width="31.28515625" bestFit="1" customWidth="1"/>
    <col min="91" max="91" width="32.140625" bestFit="1" customWidth="1"/>
    <col min="92" max="92" width="28.7109375" bestFit="1" customWidth="1"/>
    <col min="93" max="93" width="31" bestFit="1" customWidth="1"/>
    <col min="94" max="94" width="30.5703125" bestFit="1" customWidth="1"/>
    <col min="95" max="95" width="30.42578125" bestFit="1" customWidth="1"/>
    <col min="96" max="96" width="28.7109375" bestFit="1" customWidth="1"/>
    <col min="97" max="97" width="38.28515625" bestFit="1" customWidth="1"/>
    <col min="98" max="98" width="33.85546875" bestFit="1" customWidth="1"/>
    <col min="99" max="99" width="32.85546875" bestFit="1" customWidth="1"/>
    <col min="100" max="100" width="34" bestFit="1" customWidth="1"/>
    <col min="101" max="101" width="31.7109375" bestFit="1" customWidth="1"/>
    <col min="102" max="102" width="35.28515625" bestFit="1" customWidth="1"/>
    <col min="103" max="103" width="35.42578125" bestFit="1" customWidth="1"/>
    <col min="104" max="104" width="39" bestFit="1" customWidth="1"/>
    <col min="105" max="105" width="18" bestFit="1" customWidth="1"/>
    <col min="106" max="106" width="21.5703125" bestFit="1" customWidth="1"/>
    <col min="107" max="107" width="28.140625" bestFit="1" customWidth="1"/>
    <col min="108" max="108" width="31.5703125" bestFit="1" customWidth="1"/>
    <col min="109" max="109" width="25.5703125" bestFit="1" customWidth="1"/>
    <col min="110" max="110" width="32" bestFit="1" customWidth="1"/>
    <col min="111" max="111" width="35.42578125" bestFit="1" customWidth="1"/>
    <col min="112" max="112" width="28.5703125" bestFit="1" customWidth="1"/>
    <col min="113" max="113" width="32.140625" bestFit="1" customWidth="1"/>
    <col min="114" max="114" width="28.42578125" bestFit="1" customWidth="1"/>
    <col min="115" max="115" width="32" bestFit="1" customWidth="1"/>
    <col min="116" max="116" width="26.42578125" bestFit="1" customWidth="1"/>
    <col min="117" max="117" width="30" bestFit="1" customWidth="1"/>
    <col min="118" max="118" width="19.5703125" bestFit="1" customWidth="1"/>
    <col min="119" max="119" width="23" bestFit="1" customWidth="1"/>
    <col min="120" max="120" width="27" bestFit="1" customWidth="1"/>
    <col min="121" max="121" width="29.140625" bestFit="1" customWidth="1"/>
    <col min="122" max="122" width="23.7109375" bestFit="1" customWidth="1"/>
    <col min="123" max="123" width="28.7109375" bestFit="1" customWidth="1"/>
    <col min="124" max="124" width="25" bestFit="1" customWidth="1"/>
    <col min="125" max="125" width="28.5703125" bestFit="1" customWidth="1"/>
    <col min="126" max="126" width="25.7109375" bestFit="1" customWidth="1"/>
    <col min="127" max="127" width="29.28515625" bestFit="1" customWidth="1"/>
    <col min="128" max="128" width="21.5703125" bestFit="1" customWidth="1"/>
    <col min="129" max="129" width="25.140625" bestFit="1" customWidth="1"/>
    <col min="130" max="130" width="22.42578125" bestFit="1" customWidth="1"/>
    <col min="131" max="131" width="26" bestFit="1" customWidth="1"/>
    <col min="132" max="132" width="22.85546875" bestFit="1" customWidth="1"/>
    <col min="133" max="133" width="26.42578125" bestFit="1" customWidth="1"/>
    <col min="134" max="134" width="34.42578125" bestFit="1" customWidth="1"/>
    <col min="135" max="135" width="28.42578125" bestFit="1" customWidth="1"/>
    <col min="136" max="136" width="28" bestFit="1" customWidth="1"/>
    <col min="137" max="137" width="30.140625" bestFit="1" customWidth="1"/>
    <col min="138" max="138" width="29.7109375" bestFit="1" customWidth="1"/>
    <col min="139" max="139" width="27.85546875" bestFit="1" customWidth="1"/>
    <col min="140" max="140" width="30" bestFit="1" customWidth="1"/>
    <col min="141" max="141" width="32.140625" bestFit="1" customWidth="1"/>
    <col min="142" max="142" width="31.5703125" bestFit="1" customWidth="1"/>
    <col min="143" max="143" width="32.140625" bestFit="1" customWidth="1"/>
    <col min="144" max="144" width="27.5703125" bestFit="1" customWidth="1"/>
    <col min="145" max="145" width="28.85546875" bestFit="1" customWidth="1"/>
    <col min="146" max="146" width="32.42578125" bestFit="1" customWidth="1"/>
    <col min="147" max="147" width="26.85546875" bestFit="1" customWidth="1"/>
    <col min="148" max="148" width="30.42578125" bestFit="1" customWidth="1"/>
    <col min="149" max="149" width="24.140625" bestFit="1" customWidth="1"/>
    <col min="150" max="150" width="27.5703125" bestFit="1" customWidth="1"/>
    <col min="151" max="151" width="28.85546875" bestFit="1" customWidth="1"/>
    <col min="152" max="152" width="32.42578125" bestFit="1" customWidth="1"/>
    <col min="153" max="153" width="28.5703125" bestFit="1" customWidth="1"/>
    <col min="154" max="154" width="32.140625" bestFit="1" customWidth="1"/>
    <col min="155" max="155" width="29.7109375" bestFit="1" customWidth="1"/>
    <col min="156" max="156" width="33.28515625" bestFit="1" customWidth="1"/>
    <col min="157" max="157" width="22.7109375" bestFit="1" customWidth="1"/>
    <col min="158" max="158" width="26.28515625" bestFit="1" customWidth="1"/>
    <col min="159" max="159" width="28.5703125" bestFit="1" customWidth="1"/>
    <col min="160" max="160" width="20.42578125" bestFit="1" customWidth="1"/>
    <col min="161" max="161" width="24" bestFit="1" customWidth="1"/>
    <col min="162" max="162" width="21.140625" bestFit="1" customWidth="1"/>
    <col min="163" max="163" width="27.140625" bestFit="1" customWidth="1"/>
    <col min="164" max="164" width="23.85546875" bestFit="1" customWidth="1"/>
    <col min="165" max="165" width="23.28515625" bestFit="1" customWidth="1"/>
    <col min="166" max="166" width="22.85546875" bestFit="1" customWidth="1"/>
    <col min="167" max="167" width="27" bestFit="1" customWidth="1"/>
    <col min="168" max="168" width="21.28515625" bestFit="1" customWidth="1"/>
    <col min="169" max="169" width="22.85546875" bestFit="1" customWidth="1"/>
    <col min="170" max="170" width="28.7109375" bestFit="1" customWidth="1"/>
    <col min="171" max="171" width="21.7109375" bestFit="1" customWidth="1"/>
    <col min="172" max="172" width="24.5703125" bestFit="1" customWidth="1"/>
    <col min="173" max="173" width="28.140625" bestFit="1" customWidth="1"/>
    <col min="174" max="174" width="30" bestFit="1" customWidth="1"/>
    <col min="175" max="175" width="28.85546875" bestFit="1" customWidth="1"/>
    <col min="176" max="176" width="30.28515625" bestFit="1" customWidth="1"/>
    <col min="177" max="177" width="20.140625" bestFit="1" customWidth="1"/>
    <col min="178" max="178" width="25.42578125" bestFit="1" customWidth="1"/>
    <col min="179" max="179" width="26.28515625" bestFit="1" customWidth="1"/>
    <col min="180" max="180" width="29.140625" bestFit="1" customWidth="1"/>
    <col min="181" max="181" width="32.7109375" bestFit="1" customWidth="1"/>
    <col min="182" max="182" width="28.28515625" bestFit="1" customWidth="1"/>
    <col min="183" max="183" width="28.140625" bestFit="1" customWidth="1"/>
    <col min="184" max="184" width="23.7109375" bestFit="1" customWidth="1"/>
    <col min="185" max="185" width="27.140625" bestFit="1" customWidth="1"/>
    <col min="186" max="186" width="26.140625" bestFit="1" customWidth="1"/>
    <col min="187" max="187" width="28.42578125" bestFit="1" customWidth="1"/>
    <col min="188" max="188" width="32" bestFit="1" customWidth="1"/>
    <col min="189" max="189" width="35.85546875" bestFit="1" customWidth="1"/>
    <col min="190" max="190" width="20" bestFit="1" customWidth="1"/>
    <col min="191" max="191" width="23.42578125" bestFit="1" customWidth="1"/>
    <col min="192" max="192" width="20.42578125" bestFit="1" customWidth="1"/>
    <col min="193" max="193" width="24" bestFit="1" customWidth="1"/>
    <col min="194" max="194" width="19" bestFit="1" customWidth="1"/>
    <col min="195" max="195" width="22.5703125" bestFit="1" customWidth="1"/>
    <col min="196" max="196" width="36.140625" bestFit="1" customWidth="1"/>
    <col min="197" max="197" width="41.140625" bestFit="1" customWidth="1"/>
    <col min="198" max="199" width="39.42578125" bestFit="1" customWidth="1"/>
    <col min="200" max="200" width="37.140625" bestFit="1" customWidth="1"/>
    <col min="201" max="201" width="30.85546875" bestFit="1" customWidth="1"/>
    <col min="202" max="202" width="42.85546875" bestFit="1" customWidth="1"/>
    <col min="203" max="203" width="30.85546875" bestFit="1" customWidth="1"/>
    <col min="204" max="205" width="36.5703125" bestFit="1" customWidth="1"/>
    <col min="206" max="206" width="27" bestFit="1" customWidth="1"/>
    <col min="207" max="207" width="25.7109375" bestFit="1" customWidth="1"/>
    <col min="208" max="208" width="27.28515625" bestFit="1" customWidth="1"/>
    <col min="209" max="209" width="30.85546875" bestFit="1" customWidth="1"/>
    <col min="210" max="210" width="31.140625" bestFit="1" customWidth="1"/>
    <col min="211" max="211" width="30.7109375" bestFit="1" customWidth="1"/>
    <col min="212" max="212" width="26.5703125" bestFit="1" customWidth="1"/>
    <col min="213" max="213" width="34.42578125" bestFit="1" customWidth="1"/>
    <col min="214" max="214" width="25.5703125" bestFit="1" customWidth="1"/>
    <col min="215" max="215" width="25.140625" bestFit="1" customWidth="1"/>
    <col min="216" max="216" width="24.7109375" bestFit="1" customWidth="1"/>
    <col min="217" max="217" width="30.7109375" bestFit="1" customWidth="1"/>
    <col min="218" max="218" width="22.28515625" bestFit="1" customWidth="1"/>
    <col min="219" max="219" width="32.85546875" bestFit="1" customWidth="1"/>
    <col min="220" max="220" width="25.140625" bestFit="1" customWidth="1"/>
    <col min="221" max="221" width="21.5703125" bestFit="1" customWidth="1"/>
    <col min="222" max="222" width="24.85546875" bestFit="1" customWidth="1"/>
    <col min="223" max="223" width="28.42578125" bestFit="1" customWidth="1"/>
    <col min="224" max="224" width="40" bestFit="1" customWidth="1"/>
    <col min="225" max="225" width="25" bestFit="1" customWidth="1"/>
    <col min="226" max="226" width="28.5703125" bestFit="1" customWidth="1"/>
    <col min="227" max="227" width="27.28515625" bestFit="1" customWidth="1"/>
    <col min="228" max="228" width="43.5703125" bestFit="1" customWidth="1"/>
    <col min="229" max="229" width="35.140625" bestFit="1" customWidth="1"/>
    <col min="230" max="230" width="31.140625" bestFit="1" customWidth="1"/>
    <col min="231" max="231" width="34.7109375" bestFit="1" customWidth="1"/>
    <col min="232" max="232" width="22.42578125" bestFit="1" customWidth="1"/>
    <col min="233" max="233" width="19.7109375" bestFit="1" customWidth="1"/>
    <col min="234" max="234" width="26" bestFit="1" customWidth="1"/>
    <col min="235" max="235" width="27.140625" bestFit="1" customWidth="1"/>
    <col min="236" max="236" width="30.7109375" bestFit="1" customWidth="1"/>
    <col min="237" max="237" width="33.28515625" bestFit="1" customWidth="1"/>
    <col min="238" max="238" width="27.28515625" bestFit="1" customWidth="1"/>
    <col min="239" max="239" width="25.5703125" bestFit="1" customWidth="1"/>
    <col min="240" max="240" width="28.42578125" bestFit="1" customWidth="1"/>
    <col min="241" max="241" width="29.85546875" bestFit="1" customWidth="1"/>
    <col min="242" max="242" width="30.140625" bestFit="1" customWidth="1"/>
    <col min="243" max="243" width="27.85546875" bestFit="1" customWidth="1"/>
    <col min="244" max="244" width="28.140625" bestFit="1" customWidth="1"/>
    <col min="245" max="245" width="27.28515625" bestFit="1" customWidth="1"/>
    <col min="246" max="246" width="31.140625" bestFit="1" customWidth="1"/>
    <col min="247" max="247" width="32.5703125" bestFit="1" customWidth="1"/>
    <col min="248" max="248" width="33.5703125" bestFit="1" customWidth="1"/>
    <col min="249" max="249" width="25.85546875" bestFit="1" customWidth="1"/>
    <col min="250" max="250" width="30.85546875" bestFit="1" customWidth="1"/>
    <col min="251" max="251" width="32.42578125" bestFit="1" customWidth="1"/>
    <col min="252" max="252" width="23" bestFit="1" customWidth="1"/>
    <col min="253" max="253" width="31.7109375" bestFit="1" customWidth="1"/>
    <col min="254" max="254" width="32.28515625" bestFit="1" customWidth="1"/>
    <col min="255" max="255" width="32.7109375" bestFit="1" customWidth="1"/>
    <col min="256" max="256" width="29.85546875" bestFit="1" customWidth="1"/>
    <col min="257" max="257" width="27.85546875" bestFit="1" customWidth="1"/>
    <col min="258" max="258" width="43.28515625" bestFit="1" customWidth="1"/>
    <col min="259" max="259" width="37" bestFit="1" customWidth="1"/>
    <col min="260" max="260" width="28.7109375" bestFit="1" customWidth="1"/>
    <col min="261" max="261" width="29.85546875" bestFit="1" customWidth="1"/>
    <col min="262" max="262" width="29.42578125" bestFit="1" customWidth="1"/>
    <col min="263" max="263" width="29" bestFit="1" customWidth="1"/>
    <col min="264" max="264" width="39.5703125" bestFit="1" customWidth="1"/>
    <col min="265" max="265" width="34.140625" bestFit="1" customWidth="1"/>
    <col min="266" max="266" width="35.7109375" bestFit="1" customWidth="1"/>
    <col min="267" max="267" width="26.140625" bestFit="1" customWidth="1"/>
    <col min="268" max="268" width="31.7109375" bestFit="1" customWidth="1"/>
    <col min="269" max="269" width="12.28515625" bestFit="1" customWidth="1"/>
    <col min="270" max="270" width="15.85546875" bestFit="1" customWidth="1"/>
    <col min="271" max="271" width="20.85546875" bestFit="1" customWidth="1"/>
    <col min="272" max="272" width="14.5703125" bestFit="1" customWidth="1"/>
    <col min="273" max="273" width="18.140625" bestFit="1" customWidth="1"/>
    <col min="274" max="274" width="19.7109375" bestFit="1" customWidth="1"/>
    <col min="275" max="275" width="23.140625" bestFit="1" customWidth="1"/>
    <col min="276" max="276" width="15" bestFit="1" customWidth="1"/>
    <col min="277" max="277" width="18.5703125" bestFit="1" customWidth="1"/>
    <col min="278" max="278" width="22.42578125" bestFit="1" customWidth="1"/>
    <col min="279" max="279" width="22" bestFit="1" customWidth="1"/>
    <col min="280" max="280" width="13.7109375" bestFit="1" customWidth="1"/>
    <col min="281" max="281" width="17.28515625" bestFit="1" customWidth="1"/>
    <col min="282" max="282" width="27.85546875" bestFit="1" customWidth="1"/>
    <col min="283" max="283" width="17.7109375" bestFit="1" customWidth="1"/>
    <col min="284" max="284" width="21.28515625" bestFit="1" customWidth="1"/>
    <col min="285" max="285" width="28.5703125" bestFit="1" customWidth="1"/>
    <col min="286" max="286" width="27" bestFit="1" customWidth="1"/>
    <col min="287" max="287" width="24" bestFit="1" customWidth="1"/>
    <col min="288" max="288" width="25.5703125" bestFit="1" customWidth="1"/>
    <col min="289" max="289" width="29.140625" bestFit="1" customWidth="1"/>
    <col min="290" max="290" width="25.140625" bestFit="1" customWidth="1"/>
    <col min="291" max="291" width="28.7109375" bestFit="1" customWidth="1"/>
    <col min="292" max="292" width="31.28515625" bestFit="1" customWidth="1"/>
    <col min="293" max="293" width="33.140625" bestFit="1" customWidth="1"/>
    <col min="294" max="294" width="19.140625" bestFit="1" customWidth="1"/>
    <col min="295" max="295" width="32.5703125" bestFit="1" customWidth="1"/>
    <col min="296" max="296" width="25.85546875" bestFit="1" customWidth="1"/>
    <col min="297" max="297" width="24.5703125" bestFit="1" customWidth="1"/>
    <col min="298" max="298" width="28.5703125" bestFit="1" customWidth="1"/>
    <col min="299" max="299" width="36.140625" bestFit="1" customWidth="1"/>
    <col min="300" max="300" width="24.7109375" bestFit="1" customWidth="1"/>
    <col min="301" max="301" width="32.140625" bestFit="1" customWidth="1"/>
    <col min="302" max="302" width="33.7109375" bestFit="1" customWidth="1"/>
    <col min="303" max="303" width="33.140625" bestFit="1" customWidth="1"/>
    <col min="304" max="304" width="33.5703125" bestFit="1" customWidth="1"/>
    <col min="305" max="305" width="27" bestFit="1" customWidth="1"/>
    <col min="306" max="306" width="28.7109375" bestFit="1" customWidth="1"/>
    <col min="307" max="307" width="28.140625" bestFit="1" customWidth="1"/>
    <col min="308" max="308" width="32.85546875" bestFit="1" customWidth="1"/>
    <col min="309" max="309" width="36.42578125" bestFit="1" customWidth="1"/>
    <col min="310" max="310" width="22.7109375" bestFit="1" customWidth="1"/>
    <col min="311" max="311" width="34" bestFit="1" customWidth="1"/>
    <col min="312" max="312" width="37.5703125" bestFit="1" customWidth="1"/>
    <col min="313" max="313" width="26.28515625" bestFit="1" customWidth="1"/>
    <col min="314" max="314" width="39.5703125" bestFit="1" customWidth="1"/>
    <col min="315" max="315" width="32.85546875" bestFit="1" customWidth="1"/>
    <col min="316" max="316" width="30.140625" bestFit="1" customWidth="1"/>
    <col min="317" max="317" width="33.7109375" bestFit="1" customWidth="1"/>
    <col min="318" max="318" width="22.28515625" bestFit="1" customWidth="1"/>
    <col min="319" max="319" width="25.85546875" bestFit="1" customWidth="1"/>
    <col min="320" max="320" width="18.85546875" bestFit="1" customWidth="1"/>
    <col min="321" max="321" width="22.42578125" bestFit="1" customWidth="1"/>
    <col min="322" max="322" width="17.5703125" bestFit="1" customWidth="1"/>
    <col min="323" max="323" width="21.140625" bestFit="1" customWidth="1"/>
    <col min="324" max="324" width="20.42578125" bestFit="1" customWidth="1"/>
    <col min="325" max="325" width="24" bestFit="1" customWidth="1"/>
    <col min="326" max="326" width="29" bestFit="1" customWidth="1"/>
    <col min="327" max="327" width="32.5703125" bestFit="1" customWidth="1"/>
    <col min="328" max="328" width="22.5703125" bestFit="1" customWidth="1"/>
    <col min="329" max="329" width="26.140625" bestFit="1" customWidth="1"/>
    <col min="330" max="330" width="25.85546875" bestFit="1" customWidth="1"/>
    <col min="331" max="331" width="29.42578125" bestFit="1" customWidth="1"/>
    <col min="332" max="332" width="21.28515625" bestFit="1" customWidth="1"/>
    <col min="333" max="333" width="24.85546875" bestFit="1" customWidth="1"/>
    <col min="334" max="334" width="22.140625" bestFit="1" customWidth="1"/>
    <col min="335" max="335" width="27.42578125" bestFit="1" customWidth="1"/>
    <col min="336" max="336" width="30.42578125" bestFit="1" customWidth="1"/>
    <col min="337" max="337" width="26.7109375" bestFit="1" customWidth="1"/>
    <col min="338" max="338" width="31.28515625" bestFit="1" customWidth="1"/>
    <col min="339" max="339" width="24.28515625" bestFit="1" customWidth="1"/>
    <col min="340" max="340" width="27.42578125" bestFit="1" customWidth="1"/>
    <col min="341" max="341" width="26.140625" bestFit="1" customWidth="1"/>
    <col min="342" max="342" width="32.7109375" bestFit="1" customWidth="1"/>
    <col min="343" max="343" width="26.28515625" bestFit="1" customWidth="1"/>
    <col min="344" max="344" width="27" bestFit="1" customWidth="1"/>
    <col min="345" max="345" width="35.7109375" bestFit="1" customWidth="1"/>
    <col min="346" max="346" width="38.7109375" bestFit="1" customWidth="1"/>
    <col min="347" max="347" width="39.7109375" bestFit="1" customWidth="1"/>
    <col min="348" max="348" width="32.42578125" bestFit="1" customWidth="1"/>
    <col min="349" max="349" width="31.28515625" bestFit="1" customWidth="1"/>
    <col min="350" max="350" width="27.28515625" bestFit="1" customWidth="1"/>
    <col min="351" max="351" width="34.42578125" bestFit="1" customWidth="1"/>
    <col min="352" max="352" width="34.28515625" bestFit="1" customWidth="1"/>
    <col min="353" max="353" width="35.140625" bestFit="1" customWidth="1"/>
    <col min="354" max="354" width="27.5703125" bestFit="1" customWidth="1"/>
    <col min="355" max="355" width="27.140625" bestFit="1" customWidth="1"/>
    <col min="356" max="356" width="21" bestFit="1" customWidth="1"/>
    <col min="357" max="357" width="36.7109375" bestFit="1" customWidth="1"/>
    <col min="358" max="358" width="26.7109375" bestFit="1" customWidth="1"/>
    <col min="359" max="359" width="32.7109375" bestFit="1" customWidth="1"/>
    <col min="360" max="360" width="33.42578125" bestFit="1" customWidth="1"/>
    <col min="361" max="361" width="38.28515625" bestFit="1" customWidth="1"/>
    <col min="362" max="362" width="32.140625" bestFit="1" customWidth="1"/>
    <col min="363" max="363" width="28.28515625" bestFit="1" customWidth="1"/>
    <col min="364" max="364" width="22.140625" bestFit="1" customWidth="1"/>
    <col min="365" max="365" width="31.28515625" bestFit="1" customWidth="1"/>
    <col min="366" max="366" width="30.85546875" bestFit="1" customWidth="1"/>
    <col min="367" max="367" width="36.5703125" bestFit="1" customWidth="1"/>
    <col min="368" max="368" width="20.42578125" bestFit="1" customWidth="1"/>
    <col min="369" max="369" width="25.42578125" bestFit="1" customWidth="1"/>
    <col min="370" max="370" width="30.28515625" bestFit="1" customWidth="1"/>
    <col min="371" max="371" width="27.85546875" bestFit="1" customWidth="1"/>
    <col min="372" max="372" width="24.42578125" bestFit="1" customWidth="1"/>
    <col min="373" max="373" width="32.42578125" bestFit="1" customWidth="1"/>
    <col min="374" max="374" width="30" bestFit="1" customWidth="1"/>
    <col min="375" max="375" width="31.28515625" bestFit="1" customWidth="1"/>
    <col min="376" max="376" width="27.85546875" bestFit="1" customWidth="1"/>
    <col min="377" max="377" width="27.28515625" bestFit="1" customWidth="1"/>
    <col min="378" max="378" width="28.140625" bestFit="1" customWidth="1"/>
    <col min="379" max="379" width="27.28515625" bestFit="1" customWidth="1"/>
    <col min="380" max="380" width="31.140625" bestFit="1" customWidth="1"/>
    <col min="381" max="381" width="32.5703125" bestFit="1" customWidth="1"/>
    <col min="382" max="382" width="29" bestFit="1" customWidth="1"/>
    <col min="383" max="383" width="28.5703125" bestFit="1" customWidth="1"/>
    <col min="384" max="384" width="29.28515625" bestFit="1" customWidth="1"/>
    <col min="385" max="385" width="31.42578125" bestFit="1" customWidth="1"/>
    <col min="386" max="386" width="31.5703125" bestFit="1" customWidth="1"/>
    <col min="387" max="387" width="20.5703125" bestFit="1" customWidth="1"/>
    <col min="388" max="388" width="28.140625" bestFit="1" customWidth="1"/>
    <col min="389" max="389" width="38.140625" bestFit="1" customWidth="1"/>
    <col min="390" max="390" width="40" bestFit="1" customWidth="1"/>
    <col min="391" max="391" width="33.85546875" bestFit="1" customWidth="1"/>
    <col min="392" max="392" width="33.7109375" bestFit="1" customWidth="1"/>
    <col min="393" max="393" width="25.5703125" bestFit="1" customWidth="1"/>
    <col min="394" max="394" width="22.5703125" bestFit="1" customWidth="1"/>
    <col min="395" max="395" width="27.42578125" bestFit="1" customWidth="1"/>
    <col min="396" max="396" width="36.5703125" bestFit="1" customWidth="1"/>
    <col min="397" max="397" width="21.85546875" bestFit="1" customWidth="1"/>
    <col min="398" max="398" width="28" bestFit="1" customWidth="1"/>
    <col min="399" max="399" width="32.140625" bestFit="1" customWidth="1"/>
    <col min="400" max="400" width="26.85546875" bestFit="1" customWidth="1"/>
    <col min="401" max="401" width="31.7109375" bestFit="1" customWidth="1"/>
    <col min="402" max="402" width="32.140625" bestFit="1" customWidth="1"/>
    <col min="403" max="403" width="33.42578125" bestFit="1" customWidth="1"/>
    <col min="404" max="405" width="25.140625" bestFit="1" customWidth="1"/>
    <col min="406" max="406" width="33.42578125" bestFit="1" customWidth="1"/>
    <col min="407" max="408" width="25.140625" bestFit="1" customWidth="1"/>
    <col min="409" max="409" width="27.140625" bestFit="1" customWidth="1"/>
    <col min="410" max="410" width="25.140625" bestFit="1" customWidth="1"/>
    <col min="411" max="411" width="33.42578125" bestFit="1" customWidth="1"/>
    <col min="412" max="414" width="25.140625" bestFit="1" customWidth="1"/>
    <col min="415" max="415" width="33.5703125" bestFit="1" customWidth="1"/>
    <col min="416" max="416" width="31.42578125" bestFit="1" customWidth="1"/>
    <col min="417" max="418" width="33.5703125" bestFit="1" customWidth="1"/>
    <col min="419" max="419" width="31.42578125" bestFit="1" customWidth="1"/>
    <col min="420" max="420" width="27" bestFit="1" customWidth="1"/>
    <col min="421" max="421" width="32.7109375" bestFit="1" customWidth="1"/>
    <col min="422" max="422" width="31.42578125" bestFit="1" customWidth="1"/>
    <col min="423" max="423" width="30.28515625" bestFit="1" customWidth="1"/>
    <col min="424" max="424" width="27.85546875" bestFit="1" customWidth="1"/>
    <col min="425" max="425" width="24.42578125" bestFit="1" customWidth="1"/>
    <col min="426" max="426" width="32.42578125" bestFit="1" customWidth="1"/>
    <col min="427" max="427" width="26.28515625" bestFit="1" customWidth="1"/>
    <col min="428" max="428" width="27.42578125" bestFit="1" customWidth="1"/>
    <col min="429" max="429" width="27" bestFit="1" customWidth="1"/>
    <col min="430" max="430" width="32.7109375" bestFit="1" customWidth="1"/>
    <col min="431" max="431" width="31.42578125" bestFit="1" customWidth="1"/>
    <col min="432" max="432" width="25.42578125" bestFit="1" customWidth="1"/>
    <col min="433" max="433" width="30.28515625" bestFit="1" customWidth="1"/>
    <col min="434" max="434" width="27.85546875" bestFit="1" customWidth="1"/>
    <col min="435" max="435" width="24.42578125" bestFit="1" customWidth="1"/>
    <col min="436" max="436" width="32.42578125" bestFit="1" customWidth="1"/>
    <col min="437" max="437" width="31.42578125" bestFit="1" customWidth="1"/>
    <col min="438" max="438" width="29.85546875" bestFit="1" customWidth="1"/>
    <col min="439" max="439" width="26.28515625" bestFit="1" customWidth="1"/>
    <col min="440" max="440" width="27.42578125" bestFit="1" customWidth="1"/>
    <col min="441" max="441" width="27" bestFit="1" customWidth="1"/>
    <col min="442" max="442" width="32.7109375" bestFit="1" customWidth="1"/>
    <col min="443" max="443" width="26.7109375" bestFit="1" customWidth="1"/>
    <col min="444" max="444" width="32.7109375" bestFit="1" customWidth="1"/>
    <col min="445" max="445" width="33.42578125" bestFit="1" customWidth="1"/>
    <col min="446" max="446" width="38.28515625" bestFit="1" customWidth="1"/>
    <col min="447" max="447" width="32.140625" bestFit="1" customWidth="1"/>
    <col min="448" max="448" width="28.28515625" bestFit="1" customWidth="1"/>
    <col min="449" max="449" width="31.28515625" bestFit="1" customWidth="1"/>
    <col min="450" max="450" width="30.85546875" bestFit="1" customWidth="1"/>
    <col min="451" max="451" width="36.5703125" bestFit="1" customWidth="1"/>
    <col min="452" max="452" width="30.28515625" bestFit="1" customWidth="1"/>
    <col min="453" max="453" width="27.85546875" bestFit="1" customWidth="1"/>
    <col min="454" max="454" width="26.28515625" bestFit="1" customWidth="1"/>
    <col min="455" max="455" width="27.42578125" bestFit="1" customWidth="1"/>
    <col min="456" max="456" width="27" bestFit="1" customWidth="1"/>
    <col min="457" max="457" width="32.7109375" bestFit="1" customWidth="1"/>
    <col min="458" max="458" width="28.28515625" bestFit="1" customWidth="1"/>
    <col min="459" max="459" width="31.28515625" bestFit="1" customWidth="1"/>
    <col min="460" max="460" width="30.85546875" bestFit="1" customWidth="1"/>
    <col min="461" max="461" width="36.5703125" bestFit="1" customWidth="1"/>
    <col min="462" max="462" width="30.28515625" bestFit="1" customWidth="1"/>
    <col min="463" max="463" width="27.85546875" bestFit="1" customWidth="1"/>
    <col min="464" max="464" width="26.28515625" bestFit="1" customWidth="1"/>
    <col min="465" max="465" width="27.42578125" bestFit="1" customWidth="1"/>
    <col min="466" max="466" width="27" bestFit="1" customWidth="1"/>
    <col min="467" max="469" width="32.7109375" bestFit="1" customWidth="1"/>
    <col min="470" max="471" width="27" bestFit="1" customWidth="1"/>
    <col min="472" max="472" width="26.85546875" bestFit="1" customWidth="1"/>
    <col min="473" max="473" width="26.42578125" bestFit="1" customWidth="1"/>
    <col min="474" max="474" width="30.28515625" bestFit="1" customWidth="1"/>
    <col min="475" max="475" width="27.85546875" bestFit="1" customWidth="1"/>
    <col min="476" max="476" width="30.28515625" bestFit="1" customWidth="1"/>
    <col min="477" max="478" width="27.85546875" bestFit="1" customWidth="1"/>
    <col min="479" max="479" width="25.42578125" bestFit="1" customWidth="1"/>
    <col min="480" max="480" width="30.28515625" bestFit="1" customWidth="1"/>
    <col min="481" max="481" width="27.85546875" bestFit="1" customWidth="1"/>
    <col min="482" max="482" width="24.42578125" bestFit="1" customWidth="1"/>
    <col min="483" max="483" width="32.42578125" bestFit="1" customWidth="1"/>
    <col min="484" max="484" width="31.42578125" bestFit="1" customWidth="1"/>
  </cols>
  <sheetData>
    <row r="2" spans="2:404" ht="26.25">
      <c r="B2" s="38" t="s">
        <v>222</v>
      </c>
    </row>
    <row r="3" spans="2:404">
      <c r="B3" t="s">
        <v>316</v>
      </c>
      <c r="J3" t="s">
        <v>507</v>
      </c>
      <c r="K3" t="s">
        <v>398</v>
      </c>
      <c r="L3" t="s">
        <v>741</v>
      </c>
      <c r="M3" t="s">
        <v>400</v>
      </c>
      <c r="N3" t="s">
        <v>838</v>
      </c>
      <c r="O3" t="s">
        <v>424</v>
      </c>
      <c r="P3" t="s">
        <v>719</v>
      </c>
      <c r="Q3" t="s">
        <v>428</v>
      </c>
      <c r="R3" t="s">
        <v>721</v>
      </c>
      <c r="S3" t="s">
        <v>429</v>
      </c>
      <c r="T3" t="s">
        <v>722</v>
      </c>
      <c r="U3" t="s">
        <v>408</v>
      </c>
      <c r="V3" t="s">
        <v>846</v>
      </c>
      <c r="W3" t="s">
        <v>409</v>
      </c>
      <c r="X3" t="s">
        <v>847</v>
      </c>
      <c r="Y3" t="s">
        <v>375</v>
      </c>
      <c r="Z3" t="s">
        <v>377</v>
      </c>
      <c r="AA3" t="s">
        <v>378</v>
      </c>
      <c r="AB3" t="s">
        <v>317</v>
      </c>
      <c r="AC3" t="s">
        <v>843</v>
      </c>
      <c r="AD3" t="s">
        <v>318</v>
      </c>
      <c r="AE3" t="s">
        <v>319</v>
      </c>
      <c r="AF3" t="s">
        <v>845</v>
      </c>
      <c r="AG3" t="s">
        <v>320</v>
      </c>
      <c r="AH3" t="s">
        <v>844</v>
      </c>
      <c r="AI3" t="s">
        <v>322</v>
      </c>
      <c r="AJ3" t="s">
        <v>934</v>
      </c>
      <c r="AK3" t="s">
        <v>325</v>
      </c>
      <c r="AL3" t="s">
        <v>936</v>
      </c>
      <c r="AM3" t="s">
        <v>370</v>
      </c>
      <c r="AN3" t="s">
        <v>895</v>
      </c>
      <c r="AO3" t="s">
        <v>371</v>
      </c>
      <c r="AP3" t="s">
        <v>896</v>
      </c>
      <c r="AQ3" t="s">
        <v>369</v>
      </c>
      <c r="AR3" t="s">
        <v>897</v>
      </c>
      <c r="AS3" t="s">
        <v>365</v>
      </c>
      <c r="AT3" t="s">
        <v>899</v>
      </c>
      <c r="AU3" t="s">
        <v>798</v>
      </c>
      <c r="AV3" t="s">
        <v>364</v>
      </c>
      <c r="AW3" t="s">
        <v>898</v>
      </c>
      <c r="AX3" t="s">
        <v>366</v>
      </c>
      <c r="AY3" t="s">
        <v>892</v>
      </c>
      <c r="AZ3" t="s">
        <v>367</v>
      </c>
      <c r="BA3" t="s">
        <v>893</v>
      </c>
      <c r="BB3" t="s">
        <v>368</v>
      </c>
      <c r="BC3" t="s">
        <v>894</v>
      </c>
      <c r="BD3" t="s">
        <v>372</v>
      </c>
      <c r="BE3" t="s">
        <v>882</v>
      </c>
      <c r="BF3" t="s">
        <v>373</v>
      </c>
      <c r="BG3" t="s">
        <v>883</v>
      </c>
      <c r="BH3" t="s">
        <v>374</v>
      </c>
      <c r="BI3" t="s">
        <v>900</v>
      </c>
      <c r="BJ3" t="s">
        <v>323</v>
      </c>
      <c r="BK3" t="s">
        <v>935</v>
      </c>
      <c r="BL3" t="s">
        <v>324</v>
      </c>
      <c r="BM3" t="s">
        <v>868</v>
      </c>
      <c r="BN3" t="s">
        <v>327</v>
      </c>
      <c r="BO3" t="s">
        <v>937</v>
      </c>
      <c r="BP3" t="s">
        <v>330</v>
      </c>
      <c r="BQ3" t="s">
        <v>901</v>
      </c>
      <c r="BR3" t="s">
        <v>342</v>
      </c>
      <c r="BS3" t="s">
        <v>321</v>
      </c>
      <c r="BT3" t="s">
        <v>598</v>
      </c>
      <c r="BU3" t="s">
        <v>787</v>
      </c>
      <c r="BV3" t="s">
        <v>326</v>
      </c>
      <c r="BW3" t="s">
        <v>328</v>
      </c>
      <c r="BX3" t="s">
        <v>329</v>
      </c>
      <c r="BY3" t="s">
        <v>331</v>
      </c>
      <c r="BZ3" t="s">
        <v>332</v>
      </c>
      <c r="CA3" t="s">
        <v>333</v>
      </c>
      <c r="CB3" t="s">
        <v>334</v>
      </c>
      <c r="CC3" t="s">
        <v>335</v>
      </c>
      <c r="CD3" t="s">
        <v>336</v>
      </c>
      <c r="CE3" t="s">
        <v>337</v>
      </c>
      <c r="CF3" t="s">
        <v>338</v>
      </c>
      <c r="CG3" t="s">
        <v>339</v>
      </c>
      <c r="CH3" t="s">
        <v>340</v>
      </c>
      <c r="CI3" t="s">
        <v>341</v>
      </c>
      <c r="CJ3" t="s">
        <v>343</v>
      </c>
      <c r="CK3" t="s">
        <v>344</v>
      </c>
      <c r="CL3" t="s">
        <v>345</v>
      </c>
      <c r="CM3" t="s">
        <v>346</v>
      </c>
      <c r="CN3" t="s">
        <v>347</v>
      </c>
      <c r="CO3" t="s">
        <v>348</v>
      </c>
      <c r="CP3" t="s">
        <v>349</v>
      </c>
      <c r="CQ3" t="s">
        <v>350</v>
      </c>
      <c r="CR3" t="s">
        <v>351</v>
      </c>
      <c r="CS3" t="s">
        <v>352</v>
      </c>
      <c r="CT3" t="s">
        <v>353</v>
      </c>
      <c r="CU3" t="s">
        <v>1315</v>
      </c>
      <c r="CV3" t="s">
        <v>1320</v>
      </c>
      <c r="CW3" t="s">
        <v>403</v>
      </c>
      <c r="CX3" t="s">
        <v>850</v>
      </c>
      <c r="CY3" t="s">
        <v>404</v>
      </c>
      <c r="CZ3" t="s">
        <v>714</v>
      </c>
      <c r="DA3" t="s">
        <v>405</v>
      </c>
      <c r="DB3" t="s">
        <v>840</v>
      </c>
      <c r="DC3" t="s">
        <v>406</v>
      </c>
      <c r="DD3" t="s">
        <v>842</v>
      </c>
      <c r="DE3" t="s">
        <v>407</v>
      </c>
      <c r="DF3" t="s">
        <v>410</v>
      </c>
      <c r="DG3" t="s">
        <v>848</v>
      </c>
      <c r="DH3" t="s">
        <v>411</v>
      </c>
      <c r="DI3" t="s">
        <v>849</v>
      </c>
      <c r="DJ3" t="s">
        <v>412</v>
      </c>
      <c r="DK3" t="s">
        <v>932</v>
      </c>
      <c r="DL3" t="s">
        <v>413</v>
      </c>
      <c r="DM3" t="s">
        <v>933</v>
      </c>
      <c r="DN3" t="s">
        <v>414</v>
      </c>
      <c r="DO3" t="s">
        <v>841</v>
      </c>
      <c r="DP3" t="s">
        <v>415</v>
      </c>
      <c r="DQ3" t="s">
        <v>600</v>
      </c>
      <c r="DR3" t="s">
        <v>861</v>
      </c>
      <c r="DS3" t="s">
        <v>601</v>
      </c>
      <c r="DT3" t="s">
        <v>593</v>
      </c>
      <c r="DU3" t="s">
        <v>863</v>
      </c>
      <c r="DV3" t="s">
        <v>595</v>
      </c>
      <c r="DW3" t="s">
        <v>865</v>
      </c>
      <c r="DX3" t="s">
        <v>594</v>
      </c>
      <c r="DY3" t="s">
        <v>864</v>
      </c>
      <c r="DZ3" t="s">
        <v>602</v>
      </c>
      <c r="EA3" t="s">
        <v>860</v>
      </c>
      <c r="EB3" t="s">
        <v>592</v>
      </c>
      <c r="EC3" t="s">
        <v>931</v>
      </c>
      <c r="ED3" t="s">
        <v>354</v>
      </c>
      <c r="EE3" t="s">
        <v>355</v>
      </c>
      <c r="EF3" t="s">
        <v>356</v>
      </c>
      <c r="EG3" t="s">
        <v>357</v>
      </c>
      <c r="EH3" t="s">
        <v>358</v>
      </c>
      <c r="EI3" t="s">
        <v>359</v>
      </c>
      <c r="EJ3" t="s">
        <v>360</v>
      </c>
      <c r="EK3" t="s">
        <v>361</v>
      </c>
      <c r="EL3" t="s">
        <v>362</v>
      </c>
      <c r="EM3" t="s">
        <v>363</v>
      </c>
      <c r="EN3" t="s">
        <v>376</v>
      </c>
      <c r="EO3" t="s">
        <v>379</v>
      </c>
      <c r="EP3" t="s">
        <v>737</v>
      </c>
      <c r="EQ3" t="s">
        <v>380</v>
      </c>
      <c r="ER3" t="s">
        <v>738</v>
      </c>
      <c r="ES3" t="s">
        <v>381</v>
      </c>
      <c r="ET3" t="s">
        <v>739</v>
      </c>
      <c r="EU3" t="s">
        <v>382</v>
      </c>
      <c r="EV3" t="s">
        <v>884</v>
      </c>
      <c r="EW3" t="s">
        <v>383</v>
      </c>
      <c r="EX3" t="s">
        <v>885</v>
      </c>
      <c r="EY3" t="s">
        <v>384</v>
      </c>
      <c r="EZ3" t="s">
        <v>886</v>
      </c>
      <c r="FA3" t="s">
        <v>385</v>
      </c>
      <c r="FB3" t="s">
        <v>887</v>
      </c>
      <c r="FC3" t="s">
        <v>1240</v>
      </c>
      <c r="FD3" t="s">
        <v>386</v>
      </c>
      <c r="FE3" t="s">
        <v>911</v>
      </c>
      <c r="FF3" t="s">
        <v>387</v>
      </c>
      <c r="FG3" t="s">
        <v>388</v>
      </c>
      <c r="FH3" t="s">
        <v>389</v>
      </c>
      <c r="FI3" t="s">
        <v>390</v>
      </c>
      <c r="FJ3" t="s">
        <v>391</v>
      </c>
      <c r="FK3" t="s">
        <v>392</v>
      </c>
      <c r="FL3" t="s">
        <v>393</v>
      </c>
      <c r="FM3" t="s">
        <v>394</v>
      </c>
      <c r="FN3" t="s">
        <v>740</v>
      </c>
      <c r="FO3" t="s">
        <v>395</v>
      </c>
      <c r="FP3" t="s">
        <v>591</v>
      </c>
      <c r="FQ3" t="s">
        <v>866</v>
      </c>
      <c r="FR3" t="s">
        <v>396</v>
      </c>
      <c r="FS3" t="s">
        <v>583</v>
      </c>
      <c r="FT3" t="s">
        <v>397</v>
      </c>
      <c r="FU3" t="s">
        <v>597</v>
      </c>
      <c r="FV3" t="s">
        <v>399</v>
      </c>
      <c r="FW3" t="s">
        <v>401</v>
      </c>
      <c r="FX3" t="s">
        <v>402</v>
      </c>
      <c r="FY3" t="s">
        <v>839</v>
      </c>
      <c r="FZ3" t="s">
        <v>1229</v>
      </c>
      <c r="GA3" t="s">
        <v>1241</v>
      </c>
      <c r="GB3" t="s">
        <v>430</v>
      </c>
      <c r="GC3" t="s">
        <v>723</v>
      </c>
      <c r="GD3" t="s">
        <v>425</v>
      </c>
      <c r="GE3" t="s">
        <v>426</v>
      </c>
      <c r="GF3" t="s">
        <v>720</v>
      </c>
      <c r="GG3" t="s">
        <v>427</v>
      </c>
      <c r="GH3" t="s">
        <v>423</v>
      </c>
      <c r="GI3" t="s">
        <v>718</v>
      </c>
      <c r="GJ3" t="s">
        <v>422</v>
      </c>
      <c r="GK3" t="s">
        <v>717</v>
      </c>
      <c r="GL3" t="s">
        <v>421</v>
      </c>
      <c r="GM3" t="s">
        <v>716</v>
      </c>
      <c r="GN3" t="s">
        <v>1231</v>
      </c>
      <c r="GO3" t="s">
        <v>481</v>
      </c>
      <c r="GP3" t="s">
        <v>482</v>
      </c>
      <c r="GQ3" t="s">
        <v>483</v>
      </c>
      <c r="GR3" t="s">
        <v>484</v>
      </c>
      <c r="GS3" t="s">
        <v>485</v>
      </c>
      <c r="GT3" t="s">
        <v>486</v>
      </c>
      <c r="GU3" t="s">
        <v>487</v>
      </c>
      <c r="GV3" t="s">
        <v>488</v>
      </c>
      <c r="GW3" t="s">
        <v>489</v>
      </c>
      <c r="GX3" t="s">
        <v>490</v>
      </c>
      <c r="GY3" t="s">
        <v>491</v>
      </c>
      <c r="GZ3" t="s">
        <v>492</v>
      </c>
      <c r="HA3" t="s">
        <v>942</v>
      </c>
      <c r="HB3" t="s">
        <v>493</v>
      </c>
      <c r="HC3" t="s">
        <v>494</v>
      </c>
      <c r="HD3" t="s">
        <v>495</v>
      </c>
      <c r="HE3" t="s">
        <v>496</v>
      </c>
      <c r="HF3" t="s">
        <v>497</v>
      </c>
      <c r="HG3" t="s">
        <v>498</v>
      </c>
      <c r="HH3" t="s">
        <v>499</v>
      </c>
      <c r="HI3" t="s">
        <v>500</v>
      </c>
      <c r="HJ3" t="s">
        <v>501</v>
      </c>
      <c r="HK3" t="s">
        <v>502</v>
      </c>
      <c r="HL3" t="s">
        <v>503</v>
      </c>
      <c r="HM3" t="s">
        <v>504</v>
      </c>
      <c r="HN3" t="s">
        <v>505</v>
      </c>
      <c r="HO3" t="s">
        <v>889</v>
      </c>
      <c r="HP3" t="s">
        <v>506</v>
      </c>
      <c r="HQ3" t="s">
        <v>513</v>
      </c>
      <c r="HR3" t="s">
        <v>891</v>
      </c>
      <c r="HS3" t="s">
        <v>851</v>
      </c>
      <c r="HT3" t="s">
        <v>890</v>
      </c>
      <c r="HU3" t="s">
        <v>508</v>
      </c>
      <c r="HV3" t="s">
        <v>512</v>
      </c>
      <c r="HW3" t="s">
        <v>879</v>
      </c>
      <c r="HX3" t="s">
        <v>518</v>
      </c>
      <c r="HY3" t="s">
        <v>527</v>
      </c>
      <c r="HZ3" t="s">
        <v>837</v>
      </c>
      <c r="IA3" t="s">
        <v>514</v>
      </c>
      <c r="IB3" t="s">
        <v>880</v>
      </c>
      <c r="IC3" t="s">
        <v>515</v>
      </c>
      <c r="ID3" t="s">
        <v>853</v>
      </c>
      <c r="IE3" t="s">
        <v>516</v>
      </c>
      <c r="IF3" t="s">
        <v>517</v>
      </c>
      <c r="IG3" t="s">
        <v>519</v>
      </c>
      <c r="IH3" t="s">
        <v>622</v>
      </c>
      <c r="II3" t="s">
        <v>520</v>
      </c>
      <c r="IJ3" t="s">
        <v>521</v>
      </c>
      <c r="IK3" t="s">
        <v>522</v>
      </c>
      <c r="IL3" t="s">
        <v>523</v>
      </c>
      <c r="IM3" t="s">
        <v>607</v>
      </c>
      <c r="IN3" t="s">
        <v>525</v>
      </c>
      <c r="IO3" t="s">
        <v>524</v>
      </c>
      <c r="IP3" t="s">
        <v>526</v>
      </c>
      <c r="IQ3" t="s">
        <v>509</v>
      </c>
      <c r="IR3" t="s">
        <v>540</v>
      </c>
      <c r="IS3" t="s">
        <v>510</v>
      </c>
      <c r="IT3" t="s">
        <v>628</v>
      </c>
      <c r="IU3" t="s">
        <v>528</v>
      </c>
      <c r="IV3" t="s">
        <v>529</v>
      </c>
      <c r="IW3" t="s">
        <v>530</v>
      </c>
      <c r="IX3" t="s">
        <v>531</v>
      </c>
      <c r="IY3" t="s">
        <v>532</v>
      </c>
      <c r="IZ3" t="s">
        <v>533</v>
      </c>
      <c r="JA3" t="s">
        <v>534</v>
      </c>
      <c r="JB3" t="s">
        <v>535</v>
      </c>
      <c r="JC3" t="s">
        <v>536</v>
      </c>
      <c r="JD3" t="s">
        <v>537</v>
      </c>
      <c r="JE3" t="s">
        <v>538</v>
      </c>
      <c r="JF3" t="s">
        <v>855</v>
      </c>
      <c r="JG3" t="s">
        <v>539</v>
      </c>
      <c r="JH3" t="s">
        <v>511</v>
      </c>
      <c r="JI3" t="s">
        <v>436</v>
      </c>
      <c r="JJ3" t="s">
        <v>715</v>
      </c>
      <c r="JK3" t="s">
        <v>437</v>
      </c>
      <c r="JL3" t="s">
        <v>435</v>
      </c>
      <c r="JM3" t="s">
        <v>888</v>
      </c>
      <c r="JN3" t="s">
        <v>438</v>
      </c>
      <c r="JO3" t="s">
        <v>926</v>
      </c>
      <c r="JP3" t="s">
        <v>432</v>
      </c>
      <c r="JQ3" t="s">
        <v>930</v>
      </c>
      <c r="JR3" t="s">
        <v>433</v>
      </c>
      <c r="JS3" t="s">
        <v>434</v>
      </c>
      <c r="JT3" t="s">
        <v>431</v>
      </c>
      <c r="JU3" t="s">
        <v>929</v>
      </c>
      <c r="JV3" t="s">
        <v>1283</v>
      </c>
      <c r="JW3" t="s">
        <v>563</v>
      </c>
      <c r="JX3" t="s">
        <v>916</v>
      </c>
      <c r="JY3" t="s">
        <v>872</v>
      </c>
      <c r="JZ3" t="s">
        <v>564</v>
      </c>
      <c r="KA3" t="s">
        <v>565</v>
      </c>
      <c r="KB3" t="s">
        <v>566</v>
      </c>
      <c r="KC3" t="s">
        <v>920</v>
      </c>
      <c r="KD3" t="s">
        <v>567</v>
      </c>
      <c r="KE3" t="s">
        <v>877</v>
      </c>
      <c r="KF3" t="s">
        <v>569</v>
      </c>
      <c r="KG3" t="s">
        <v>570</v>
      </c>
      <c r="KH3" t="s">
        <v>574</v>
      </c>
      <c r="KI3" t="s">
        <v>575</v>
      </c>
      <c r="KJ3" t="s">
        <v>576</v>
      </c>
      <c r="KK3" t="s">
        <v>577</v>
      </c>
      <c r="KL3" t="s">
        <v>578</v>
      </c>
      <c r="KM3" t="s">
        <v>579</v>
      </c>
      <c r="KN3" t="s">
        <v>580</v>
      </c>
      <c r="KO3" t="s">
        <v>557</v>
      </c>
      <c r="KP3" t="s">
        <v>558</v>
      </c>
      <c r="KQ3" t="s">
        <v>559</v>
      </c>
      <c r="KR3" t="s">
        <v>560</v>
      </c>
      <c r="KS3" t="s">
        <v>869</v>
      </c>
      <c r="KT3" t="s">
        <v>870</v>
      </c>
      <c r="KU3" t="s">
        <v>871</v>
      </c>
      <c r="KV3" t="s">
        <v>561</v>
      </c>
      <c r="KW3" t="s">
        <v>729</v>
      </c>
      <c r="KX3" t="s">
        <v>568</v>
      </c>
      <c r="KY3" t="s">
        <v>562</v>
      </c>
      <c r="KZ3" t="s">
        <v>730</v>
      </c>
      <c r="LA3" t="s">
        <v>873</v>
      </c>
      <c r="LB3" t="s">
        <v>571</v>
      </c>
      <c r="LC3" t="s">
        <v>731</v>
      </c>
      <c r="LD3" t="s">
        <v>573</v>
      </c>
      <c r="LE3" t="s">
        <v>924</v>
      </c>
      <c r="LF3" t="s">
        <v>572</v>
      </c>
      <c r="LG3" t="s">
        <v>922</v>
      </c>
      <c r="LH3" t="s">
        <v>418</v>
      </c>
      <c r="LI3" t="s">
        <v>918</v>
      </c>
      <c r="LJ3" t="s">
        <v>416</v>
      </c>
      <c r="LK3" t="s">
        <v>915</v>
      </c>
      <c r="LL3" t="s">
        <v>420</v>
      </c>
      <c r="LM3" t="s">
        <v>912</v>
      </c>
      <c r="LN3" t="s">
        <v>419</v>
      </c>
      <c r="LO3" t="s">
        <v>919</v>
      </c>
      <c r="LP3" t="s">
        <v>582</v>
      </c>
      <c r="LQ3" t="s">
        <v>881</v>
      </c>
      <c r="LR3" t="s">
        <v>581</v>
      </c>
      <c r="LS3" t="s">
        <v>917</v>
      </c>
      <c r="LT3" t="s">
        <v>417</v>
      </c>
      <c r="LU3" t="s">
        <v>910</v>
      </c>
      <c r="LV3" t="s">
        <v>909</v>
      </c>
      <c r="LW3" t="s">
        <v>439</v>
      </c>
      <c r="LX3" t="s">
        <v>940</v>
      </c>
      <c r="LY3" t="s">
        <v>443</v>
      </c>
      <c r="LZ3" t="s">
        <v>444</v>
      </c>
      <c r="MA3" t="s">
        <v>447</v>
      </c>
      <c r="MB3" t="s">
        <v>603</v>
      </c>
      <c r="MC3" t="s">
        <v>473</v>
      </c>
      <c r="MD3" t="s">
        <v>606</v>
      </c>
      <c r="ME3" t="s">
        <v>605</v>
      </c>
      <c r="MF3" t="s">
        <v>604</v>
      </c>
      <c r="MG3" t="s">
        <v>817</v>
      </c>
      <c r="MH3" t="s">
        <v>943</v>
      </c>
      <c r="MI3" t="s">
        <v>945</v>
      </c>
      <c r="MJ3" t="s">
        <v>440</v>
      </c>
      <c r="MK3" t="s">
        <v>441</v>
      </c>
      <c r="ML3" t="s">
        <v>442</v>
      </c>
      <c r="MM3" t="s">
        <v>821</v>
      </c>
      <c r="MN3" t="s">
        <v>462</v>
      </c>
      <c r="MO3" t="s">
        <v>463</v>
      </c>
      <c r="MP3" t="s">
        <v>464</v>
      </c>
      <c r="MQ3" t="s">
        <v>465</v>
      </c>
      <c r="MR3" t="s">
        <v>938</v>
      </c>
      <c r="MS3" t="s">
        <v>466</v>
      </c>
      <c r="MT3" t="s">
        <v>467</v>
      </c>
      <c r="MU3" t="s">
        <v>468</v>
      </c>
      <c r="MV3" t="s">
        <v>469</v>
      </c>
      <c r="MW3" t="s">
        <v>470</v>
      </c>
      <c r="MX3" t="s">
        <v>471</v>
      </c>
      <c r="MY3" t="s">
        <v>472</v>
      </c>
      <c r="MZ3" t="s">
        <v>448</v>
      </c>
      <c r="NA3" t="s">
        <v>706</v>
      </c>
      <c r="NB3" t="s">
        <v>708</v>
      </c>
      <c r="NC3" t="s">
        <v>832</v>
      </c>
      <c r="ND3" t="s">
        <v>474</v>
      </c>
      <c r="NE3" t="s">
        <v>475</v>
      </c>
      <c r="NF3" t="s">
        <v>476</v>
      </c>
      <c r="NG3" t="s">
        <v>477</v>
      </c>
      <c r="NH3" t="s">
        <v>478</v>
      </c>
      <c r="NI3" t="s">
        <v>479</v>
      </c>
      <c r="NJ3" t="s">
        <v>450</v>
      </c>
      <c r="NK3" t="s">
        <v>451</v>
      </c>
      <c r="NL3" t="s">
        <v>452</v>
      </c>
      <c r="NM3" t="s">
        <v>453</v>
      </c>
      <c r="NN3" t="s">
        <v>454</v>
      </c>
      <c r="NO3" t="s">
        <v>455</v>
      </c>
      <c r="NP3" t="s">
        <v>456</v>
      </c>
      <c r="NQ3" t="s">
        <v>457</v>
      </c>
      <c r="NR3" t="s">
        <v>458</v>
      </c>
      <c r="NS3" t="s">
        <v>459</v>
      </c>
      <c r="NT3" t="s">
        <v>460</v>
      </c>
      <c r="NU3" t="s">
        <v>480</v>
      </c>
      <c r="NV3" t="s">
        <v>449</v>
      </c>
      <c r="NW3" t="s">
        <v>445</v>
      </c>
      <c r="NX3" t="s">
        <v>446</v>
      </c>
      <c r="NY3" t="s">
        <v>461</v>
      </c>
      <c r="NZ3" t="s">
        <v>543</v>
      </c>
      <c r="OA3" t="s">
        <v>553</v>
      </c>
      <c r="OB3" t="s">
        <v>544</v>
      </c>
      <c r="OC3" t="s">
        <v>548</v>
      </c>
      <c r="OD3" t="s">
        <v>542</v>
      </c>
      <c r="OE3" t="s">
        <v>549</v>
      </c>
      <c r="OF3" t="s">
        <v>554</v>
      </c>
      <c r="OG3" t="s">
        <v>546</v>
      </c>
      <c r="OH3" t="s">
        <v>547</v>
      </c>
      <c r="OI3" t="s">
        <v>545</v>
      </c>
      <c r="OJ3" t="s">
        <v>555</v>
      </c>
      <c r="OK3" t="s">
        <v>552</v>
      </c>
      <c r="OL3" t="s">
        <v>551</v>
      </c>
      <c r="OM3" t="s">
        <v>550</v>
      </c>
      <c r="ON3" t="s">
        <v>541</v>
      </c>
    </row>
    <row r="4" spans="2:404">
      <c r="J4" t="s">
        <v>507</v>
      </c>
      <c r="K4" t="s">
        <v>398</v>
      </c>
      <c r="L4" t="s">
        <v>741</v>
      </c>
      <c r="M4" t="s">
        <v>400</v>
      </c>
      <c r="N4" t="s">
        <v>838</v>
      </c>
      <c r="O4" t="s">
        <v>424</v>
      </c>
      <c r="P4" t="s">
        <v>719</v>
      </c>
      <c r="Q4" t="s">
        <v>428</v>
      </c>
      <c r="R4" t="s">
        <v>721</v>
      </c>
      <c r="S4" t="s">
        <v>429</v>
      </c>
      <c r="T4" t="s">
        <v>722</v>
      </c>
      <c r="U4" t="s">
        <v>408</v>
      </c>
      <c r="V4" t="s">
        <v>846</v>
      </c>
      <c r="W4" t="s">
        <v>409</v>
      </c>
      <c r="X4" t="s">
        <v>847</v>
      </c>
      <c r="Y4" t="s">
        <v>375</v>
      </c>
      <c r="Z4" t="s">
        <v>377</v>
      </c>
      <c r="AA4" t="s">
        <v>378</v>
      </c>
      <c r="AB4" t="s">
        <v>317</v>
      </c>
      <c r="AC4" t="s">
        <v>843</v>
      </c>
      <c r="AD4" t="s">
        <v>318</v>
      </c>
      <c r="AE4" t="s">
        <v>319</v>
      </c>
      <c r="AF4" t="s">
        <v>845</v>
      </c>
      <c r="AG4" t="s">
        <v>320</v>
      </c>
      <c r="AH4" t="s">
        <v>844</v>
      </c>
      <c r="AI4" t="s">
        <v>322</v>
      </c>
      <c r="AJ4" t="s">
        <v>934</v>
      </c>
      <c r="AK4" t="s">
        <v>325</v>
      </c>
      <c r="AL4" t="s">
        <v>936</v>
      </c>
      <c r="AM4" t="s">
        <v>370</v>
      </c>
      <c r="AN4" t="s">
        <v>895</v>
      </c>
      <c r="AO4" t="s">
        <v>371</v>
      </c>
      <c r="AP4" t="s">
        <v>896</v>
      </c>
      <c r="AQ4" t="s">
        <v>369</v>
      </c>
      <c r="AR4" t="s">
        <v>897</v>
      </c>
      <c r="AS4" t="s">
        <v>365</v>
      </c>
      <c r="AT4" t="s">
        <v>899</v>
      </c>
      <c r="AU4" t="s">
        <v>798</v>
      </c>
      <c r="AV4" t="s">
        <v>364</v>
      </c>
      <c r="AW4" t="s">
        <v>898</v>
      </c>
      <c r="AX4" t="s">
        <v>366</v>
      </c>
      <c r="AY4" t="s">
        <v>892</v>
      </c>
      <c r="AZ4" t="s">
        <v>367</v>
      </c>
      <c r="BA4" t="s">
        <v>893</v>
      </c>
      <c r="BB4" t="s">
        <v>368</v>
      </c>
      <c r="BC4" t="s">
        <v>894</v>
      </c>
      <c r="BD4" t="s">
        <v>372</v>
      </c>
      <c r="BE4" t="s">
        <v>882</v>
      </c>
      <c r="BF4" t="s">
        <v>373</v>
      </c>
      <c r="BG4" t="s">
        <v>883</v>
      </c>
      <c r="BH4" t="s">
        <v>374</v>
      </c>
      <c r="BI4" t="s">
        <v>900</v>
      </c>
      <c r="BJ4" t="s">
        <v>323</v>
      </c>
      <c r="BK4" t="s">
        <v>935</v>
      </c>
      <c r="BL4" t="s">
        <v>324</v>
      </c>
      <c r="BM4" t="s">
        <v>868</v>
      </c>
      <c r="BN4" t="s">
        <v>327</v>
      </c>
      <c r="BO4" t="s">
        <v>937</v>
      </c>
      <c r="BP4" t="s">
        <v>330</v>
      </c>
      <c r="BQ4" t="s">
        <v>901</v>
      </c>
      <c r="BR4" t="s">
        <v>342</v>
      </c>
      <c r="BS4" t="s">
        <v>321</v>
      </c>
      <c r="BT4" t="s">
        <v>598</v>
      </c>
      <c r="BU4" t="s">
        <v>787</v>
      </c>
      <c r="BV4" t="s">
        <v>326</v>
      </c>
      <c r="BW4" t="s">
        <v>328</v>
      </c>
      <c r="BX4" t="s">
        <v>329</v>
      </c>
      <c r="BY4" t="s">
        <v>331</v>
      </c>
      <c r="BZ4" t="s">
        <v>332</v>
      </c>
      <c r="CA4" t="s">
        <v>333</v>
      </c>
      <c r="CB4" t="s">
        <v>334</v>
      </c>
      <c r="CC4" t="s">
        <v>335</v>
      </c>
      <c r="CD4" t="s">
        <v>336</v>
      </c>
      <c r="CE4" t="s">
        <v>337</v>
      </c>
      <c r="CF4" t="s">
        <v>338</v>
      </c>
      <c r="CG4" t="s">
        <v>339</v>
      </c>
      <c r="CH4" t="s">
        <v>340</v>
      </c>
      <c r="CI4" t="s">
        <v>341</v>
      </c>
      <c r="CJ4" t="s">
        <v>343</v>
      </c>
      <c r="CK4" t="s">
        <v>344</v>
      </c>
      <c r="CL4" t="s">
        <v>345</v>
      </c>
      <c r="CM4" t="s">
        <v>346</v>
      </c>
      <c r="CN4" t="s">
        <v>347</v>
      </c>
      <c r="CO4" t="s">
        <v>348</v>
      </c>
      <c r="CP4" t="s">
        <v>349</v>
      </c>
      <c r="CQ4" t="s">
        <v>350</v>
      </c>
      <c r="CR4" t="s">
        <v>351</v>
      </c>
      <c r="CS4" t="s">
        <v>352</v>
      </c>
      <c r="CT4" t="s">
        <v>353</v>
      </c>
      <c r="CU4" t="s">
        <v>1315</v>
      </c>
      <c r="CV4" t="s">
        <v>1320</v>
      </c>
      <c r="CW4" t="s">
        <v>403</v>
      </c>
      <c r="CX4" t="s">
        <v>850</v>
      </c>
      <c r="CY4" t="s">
        <v>404</v>
      </c>
      <c r="CZ4" t="s">
        <v>714</v>
      </c>
      <c r="DA4" t="s">
        <v>405</v>
      </c>
      <c r="DB4" t="s">
        <v>840</v>
      </c>
      <c r="DC4" t="s">
        <v>406</v>
      </c>
      <c r="DD4" t="s">
        <v>842</v>
      </c>
      <c r="DE4" t="s">
        <v>407</v>
      </c>
      <c r="DF4" t="s">
        <v>410</v>
      </c>
      <c r="DG4" t="s">
        <v>848</v>
      </c>
      <c r="DH4" t="s">
        <v>411</v>
      </c>
      <c r="DI4" t="s">
        <v>849</v>
      </c>
      <c r="DJ4" t="s">
        <v>412</v>
      </c>
      <c r="DK4" t="s">
        <v>932</v>
      </c>
      <c r="DL4" t="s">
        <v>413</v>
      </c>
      <c r="DM4" t="s">
        <v>933</v>
      </c>
      <c r="DN4" t="s">
        <v>414</v>
      </c>
      <c r="DO4" t="s">
        <v>841</v>
      </c>
      <c r="DP4" t="s">
        <v>415</v>
      </c>
      <c r="DQ4" t="s">
        <v>600</v>
      </c>
      <c r="DR4" t="s">
        <v>861</v>
      </c>
      <c r="DS4" t="s">
        <v>601</v>
      </c>
      <c r="DT4" t="s">
        <v>593</v>
      </c>
      <c r="DU4" t="s">
        <v>863</v>
      </c>
      <c r="DV4" t="s">
        <v>595</v>
      </c>
      <c r="DW4" t="s">
        <v>865</v>
      </c>
      <c r="DX4" t="s">
        <v>594</v>
      </c>
      <c r="DY4" t="s">
        <v>864</v>
      </c>
      <c r="DZ4" t="s">
        <v>602</v>
      </c>
      <c r="EA4" t="s">
        <v>860</v>
      </c>
      <c r="EB4" t="s">
        <v>592</v>
      </c>
      <c r="EC4" t="s">
        <v>931</v>
      </c>
      <c r="ED4" t="s">
        <v>354</v>
      </c>
      <c r="EE4" t="s">
        <v>355</v>
      </c>
      <c r="EF4" t="s">
        <v>356</v>
      </c>
      <c r="EG4" t="s">
        <v>357</v>
      </c>
      <c r="EH4" t="s">
        <v>358</v>
      </c>
      <c r="EI4" t="s">
        <v>359</v>
      </c>
      <c r="EJ4" t="s">
        <v>360</v>
      </c>
      <c r="EK4" t="s">
        <v>361</v>
      </c>
      <c r="EL4" t="s">
        <v>362</v>
      </c>
      <c r="EM4" t="s">
        <v>363</v>
      </c>
      <c r="EN4" t="s">
        <v>376</v>
      </c>
      <c r="EO4" t="s">
        <v>379</v>
      </c>
      <c r="EP4" t="s">
        <v>737</v>
      </c>
      <c r="EQ4" t="s">
        <v>380</v>
      </c>
      <c r="ER4" t="s">
        <v>738</v>
      </c>
      <c r="ES4" t="s">
        <v>381</v>
      </c>
      <c r="ET4" t="s">
        <v>739</v>
      </c>
      <c r="EU4" t="s">
        <v>382</v>
      </c>
      <c r="EV4" t="s">
        <v>884</v>
      </c>
      <c r="EW4" t="s">
        <v>383</v>
      </c>
      <c r="EX4" t="s">
        <v>885</v>
      </c>
      <c r="EY4" t="s">
        <v>384</v>
      </c>
      <c r="EZ4" t="s">
        <v>886</v>
      </c>
      <c r="FA4" t="s">
        <v>385</v>
      </c>
      <c r="FB4" t="s">
        <v>887</v>
      </c>
      <c r="FC4" t="s">
        <v>1240</v>
      </c>
      <c r="FD4" t="s">
        <v>386</v>
      </c>
      <c r="FE4" t="s">
        <v>911</v>
      </c>
      <c r="FF4" t="s">
        <v>387</v>
      </c>
      <c r="FG4" t="s">
        <v>388</v>
      </c>
      <c r="FH4" t="s">
        <v>389</v>
      </c>
      <c r="FI4" t="s">
        <v>390</v>
      </c>
      <c r="FJ4" t="s">
        <v>391</v>
      </c>
      <c r="FK4" t="s">
        <v>392</v>
      </c>
      <c r="FL4" t="s">
        <v>393</v>
      </c>
      <c r="FM4" t="s">
        <v>394</v>
      </c>
      <c r="FN4" t="s">
        <v>740</v>
      </c>
      <c r="FO4" t="s">
        <v>395</v>
      </c>
      <c r="FP4" t="s">
        <v>591</v>
      </c>
      <c r="FQ4" t="s">
        <v>866</v>
      </c>
      <c r="FR4" t="s">
        <v>396</v>
      </c>
      <c r="FS4" t="s">
        <v>583</v>
      </c>
      <c r="FT4" t="s">
        <v>397</v>
      </c>
      <c r="FU4" t="s">
        <v>597</v>
      </c>
      <c r="FV4" t="s">
        <v>399</v>
      </c>
      <c r="FW4" t="s">
        <v>401</v>
      </c>
      <c r="FX4" t="s">
        <v>402</v>
      </c>
      <c r="FY4" t="s">
        <v>839</v>
      </c>
      <c r="FZ4" t="s">
        <v>1229</v>
      </c>
      <c r="GA4" t="s">
        <v>1241</v>
      </c>
      <c r="GB4" t="s">
        <v>430</v>
      </c>
      <c r="GC4" t="s">
        <v>723</v>
      </c>
      <c r="GD4" t="s">
        <v>425</v>
      </c>
      <c r="GE4" t="s">
        <v>426</v>
      </c>
      <c r="GF4" t="s">
        <v>720</v>
      </c>
      <c r="GG4" t="s">
        <v>427</v>
      </c>
      <c r="GH4" t="s">
        <v>423</v>
      </c>
      <c r="GI4" t="s">
        <v>718</v>
      </c>
      <c r="GJ4" t="s">
        <v>422</v>
      </c>
      <c r="GK4" t="s">
        <v>717</v>
      </c>
      <c r="GL4" t="s">
        <v>421</v>
      </c>
      <c r="GM4" t="s">
        <v>716</v>
      </c>
      <c r="GN4" t="s">
        <v>1231</v>
      </c>
      <c r="GO4" t="s">
        <v>481</v>
      </c>
      <c r="GP4" t="s">
        <v>482</v>
      </c>
      <c r="GQ4" t="s">
        <v>483</v>
      </c>
      <c r="GR4" t="s">
        <v>484</v>
      </c>
      <c r="GS4" t="s">
        <v>485</v>
      </c>
      <c r="GT4" t="s">
        <v>486</v>
      </c>
      <c r="GU4" t="s">
        <v>487</v>
      </c>
      <c r="GV4" t="s">
        <v>488</v>
      </c>
      <c r="GW4" t="s">
        <v>489</v>
      </c>
      <c r="GX4" t="s">
        <v>490</v>
      </c>
      <c r="GY4" t="s">
        <v>491</v>
      </c>
      <c r="GZ4" t="s">
        <v>492</v>
      </c>
      <c r="HA4" t="s">
        <v>942</v>
      </c>
      <c r="HB4" t="s">
        <v>493</v>
      </c>
      <c r="HC4" t="s">
        <v>494</v>
      </c>
      <c r="HD4" t="s">
        <v>495</v>
      </c>
      <c r="HE4" t="s">
        <v>496</v>
      </c>
      <c r="HF4" t="s">
        <v>497</v>
      </c>
      <c r="HG4" t="s">
        <v>498</v>
      </c>
      <c r="HH4" t="s">
        <v>499</v>
      </c>
      <c r="HI4" t="s">
        <v>500</v>
      </c>
      <c r="HJ4" t="s">
        <v>501</v>
      </c>
      <c r="HK4" t="s">
        <v>502</v>
      </c>
      <c r="HL4" t="s">
        <v>503</v>
      </c>
      <c r="HM4" t="s">
        <v>504</v>
      </c>
      <c r="HN4" t="s">
        <v>505</v>
      </c>
      <c r="HO4" t="s">
        <v>889</v>
      </c>
      <c r="HP4" t="s">
        <v>506</v>
      </c>
      <c r="HQ4" t="s">
        <v>513</v>
      </c>
      <c r="HR4" t="s">
        <v>891</v>
      </c>
      <c r="HS4" t="s">
        <v>851</v>
      </c>
      <c r="HT4" t="s">
        <v>890</v>
      </c>
      <c r="HU4" t="s">
        <v>508</v>
      </c>
      <c r="HV4" t="s">
        <v>512</v>
      </c>
      <c r="HW4" t="s">
        <v>879</v>
      </c>
      <c r="HX4" t="s">
        <v>518</v>
      </c>
      <c r="HY4" t="s">
        <v>527</v>
      </c>
      <c r="HZ4" t="s">
        <v>837</v>
      </c>
      <c r="IA4" t="s">
        <v>514</v>
      </c>
      <c r="IB4" t="s">
        <v>880</v>
      </c>
      <c r="IC4" t="s">
        <v>515</v>
      </c>
      <c r="ID4" t="s">
        <v>853</v>
      </c>
      <c r="IE4" t="s">
        <v>516</v>
      </c>
      <c r="IF4" t="s">
        <v>517</v>
      </c>
      <c r="IG4" t="s">
        <v>519</v>
      </c>
      <c r="IH4" t="s">
        <v>622</v>
      </c>
      <c r="II4" t="s">
        <v>520</v>
      </c>
      <c r="IJ4" t="s">
        <v>521</v>
      </c>
      <c r="IK4" t="s">
        <v>522</v>
      </c>
      <c r="IL4" t="s">
        <v>523</v>
      </c>
      <c r="IM4" t="s">
        <v>607</v>
      </c>
      <c r="IN4" t="s">
        <v>525</v>
      </c>
      <c r="IO4" t="s">
        <v>524</v>
      </c>
      <c r="IP4" t="s">
        <v>526</v>
      </c>
      <c r="IQ4" t="s">
        <v>509</v>
      </c>
      <c r="IR4" t="s">
        <v>540</v>
      </c>
      <c r="IS4" t="s">
        <v>510</v>
      </c>
      <c r="IT4" t="s">
        <v>628</v>
      </c>
      <c r="IU4" t="s">
        <v>528</v>
      </c>
      <c r="IV4" t="s">
        <v>529</v>
      </c>
      <c r="IW4" t="s">
        <v>530</v>
      </c>
      <c r="IX4" t="s">
        <v>531</v>
      </c>
      <c r="IY4" t="s">
        <v>532</v>
      </c>
      <c r="IZ4" t="s">
        <v>533</v>
      </c>
      <c r="JA4" t="s">
        <v>534</v>
      </c>
      <c r="JB4" t="s">
        <v>535</v>
      </c>
      <c r="JC4" t="s">
        <v>536</v>
      </c>
      <c r="JD4" t="s">
        <v>537</v>
      </c>
      <c r="JE4" t="s">
        <v>538</v>
      </c>
      <c r="JF4" t="s">
        <v>855</v>
      </c>
      <c r="JG4" t="s">
        <v>539</v>
      </c>
      <c r="JH4" t="s">
        <v>511</v>
      </c>
      <c r="JI4" t="s">
        <v>436</v>
      </c>
      <c r="JJ4" t="s">
        <v>715</v>
      </c>
      <c r="JK4" t="s">
        <v>437</v>
      </c>
      <c r="JL4" t="s">
        <v>435</v>
      </c>
      <c r="JM4" t="s">
        <v>888</v>
      </c>
      <c r="JN4" t="s">
        <v>438</v>
      </c>
      <c r="JO4" t="s">
        <v>926</v>
      </c>
      <c r="JP4" t="s">
        <v>432</v>
      </c>
      <c r="JQ4" t="s">
        <v>930</v>
      </c>
      <c r="JR4" t="s">
        <v>433</v>
      </c>
      <c r="JS4" t="s">
        <v>434</v>
      </c>
      <c r="JT4" t="s">
        <v>431</v>
      </c>
      <c r="JU4" t="s">
        <v>929</v>
      </c>
      <c r="JV4" t="s">
        <v>1283</v>
      </c>
      <c r="JW4" t="s">
        <v>563</v>
      </c>
      <c r="JX4" t="s">
        <v>916</v>
      </c>
      <c r="JY4" t="s">
        <v>872</v>
      </c>
      <c r="JZ4" t="s">
        <v>564</v>
      </c>
      <c r="KA4" t="s">
        <v>565</v>
      </c>
      <c r="KB4" t="s">
        <v>566</v>
      </c>
      <c r="KC4" t="s">
        <v>920</v>
      </c>
      <c r="KD4" t="s">
        <v>567</v>
      </c>
      <c r="KE4" t="s">
        <v>877</v>
      </c>
      <c r="KF4" t="s">
        <v>569</v>
      </c>
      <c r="KG4" t="s">
        <v>570</v>
      </c>
      <c r="KH4" t="s">
        <v>574</v>
      </c>
      <c r="KI4" t="s">
        <v>575</v>
      </c>
      <c r="KJ4" t="s">
        <v>576</v>
      </c>
      <c r="KK4" t="s">
        <v>577</v>
      </c>
      <c r="KL4" t="s">
        <v>578</v>
      </c>
      <c r="KM4" t="s">
        <v>579</v>
      </c>
      <c r="KN4" t="s">
        <v>580</v>
      </c>
      <c r="KO4" t="s">
        <v>557</v>
      </c>
      <c r="KP4" t="s">
        <v>558</v>
      </c>
      <c r="KQ4" t="s">
        <v>559</v>
      </c>
      <c r="KR4" t="s">
        <v>560</v>
      </c>
      <c r="KS4" t="s">
        <v>869</v>
      </c>
      <c r="KT4" t="s">
        <v>870</v>
      </c>
      <c r="KU4" t="s">
        <v>871</v>
      </c>
      <c r="KV4" t="s">
        <v>561</v>
      </c>
      <c r="KW4" t="s">
        <v>729</v>
      </c>
      <c r="KX4" t="s">
        <v>568</v>
      </c>
      <c r="KY4" t="s">
        <v>562</v>
      </c>
      <c r="KZ4" t="s">
        <v>730</v>
      </c>
      <c r="LA4" t="s">
        <v>873</v>
      </c>
      <c r="LB4" t="s">
        <v>571</v>
      </c>
      <c r="LC4" t="s">
        <v>731</v>
      </c>
      <c r="LD4" t="s">
        <v>573</v>
      </c>
      <c r="LE4" t="s">
        <v>924</v>
      </c>
      <c r="LF4" t="s">
        <v>572</v>
      </c>
      <c r="LG4" t="s">
        <v>922</v>
      </c>
      <c r="LH4" t="s">
        <v>418</v>
      </c>
      <c r="LI4" t="s">
        <v>918</v>
      </c>
      <c r="LJ4" t="s">
        <v>416</v>
      </c>
      <c r="LK4" t="s">
        <v>915</v>
      </c>
      <c r="LL4" t="s">
        <v>420</v>
      </c>
      <c r="LM4" t="s">
        <v>912</v>
      </c>
      <c r="LN4" t="s">
        <v>419</v>
      </c>
      <c r="LO4" t="s">
        <v>919</v>
      </c>
      <c r="LP4" t="s">
        <v>582</v>
      </c>
      <c r="LQ4" t="s">
        <v>881</v>
      </c>
      <c r="LR4" t="s">
        <v>581</v>
      </c>
      <c r="LS4" t="s">
        <v>917</v>
      </c>
      <c r="LT4" t="s">
        <v>417</v>
      </c>
      <c r="LU4" t="s">
        <v>910</v>
      </c>
      <c r="LV4" t="s">
        <v>909</v>
      </c>
      <c r="LW4" t="s">
        <v>439</v>
      </c>
      <c r="LX4" t="s">
        <v>940</v>
      </c>
      <c r="LY4" t="s">
        <v>443</v>
      </c>
      <c r="LZ4" t="s">
        <v>444</v>
      </c>
      <c r="MA4" t="s">
        <v>447</v>
      </c>
      <c r="MB4" t="s">
        <v>603</v>
      </c>
      <c r="MC4" t="s">
        <v>473</v>
      </c>
      <c r="MD4" t="s">
        <v>606</v>
      </c>
      <c r="ME4" t="s">
        <v>605</v>
      </c>
      <c r="MF4" t="s">
        <v>604</v>
      </c>
      <c r="MG4" t="s">
        <v>817</v>
      </c>
      <c r="MH4" t="s">
        <v>943</v>
      </c>
      <c r="MI4" t="s">
        <v>945</v>
      </c>
      <c r="MJ4" t="s">
        <v>440</v>
      </c>
      <c r="MK4" t="s">
        <v>441</v>
      </c>
      <c r="ML4" t="s">
        <v>442</v>
      </c>
      <c r="MM4" t="s">
        <v>821</v>
      </c>
      <c r="MN4" t="s">
        <v>462</v>
      </c>
      <c r="MO4" t="s">
        <v>463</v>
      </c>
      <c r="MP4" t="s">
        <v>464</v>
      </c>
      <c r="MQ4" t="s">
        <v>465</v>
      </c>
      <c r="MR4" t="s">
        <v>938</v>
      </c>
      <c r="MS4" t="s">
        <v>466</v>
      </c>
      <c r="MT4" t="s">
        <v>467</v>
      </c>
      <c r="MU4" t="s">
        <v>468</v>
      </c>
      <c r="MV4" t="s">
        <v>469</v>
      </c>
      <c r="MW4" t="s">
        <v>470</v>
      </c>
      <c r="MX4" t="s">
        <v>471</v>
      </c>
      <c r="MY4" t="s">
        <v>472</v>
      </c>
      <c r="MZ4" t="s">
        <v>448</v>
      </c>
      <c r="NA4" t="s">
        <v>706</v>
      </c>
      <c r="NB4" t="s">
        <v>708</v>
      </c>
      <c r="NC4" t="s">
        <v>832</v>
      </c>
      <c r="ND4" t="s">
        <v>474</v>
      </c>
      <c r="NE4" t="s">
        <v>475</v>
      </c>
      <c r="NF4" t="s">
        <v>476</v>
      </c>
      <c r="NG4" t="s">
        <v>477</v>
      </c>
      <c r="NH4" t="s">
        <v>478</v>
      </c>
      <c r="NI4" t="s">
        <v>479</v>
      </c>
      <c r="NJ4" t="s">
        <v>450</v>
      </c>
      <c r="NK4" t="s">
        <v>451</v>
      </c>
      <c r="NL4" t="s">
        <v>452</v>
      </c>
      <c r="NM4" t="s">
        <v>453</v>
      </c>
      <c r="NN4" t="s">
        <v>454</v>
      </c>
      <c r="NO4" t="s">
        <v>455</v>
      </c>
      <c r="NP4" t="s">
        <v>456</v>
      </c>
      <c r="NQ4" t="s">
        <v>457</v>
      </c>
      <c r="NR4" t="s">
        <v>458</v>
      </c>
      <c r="NS4" t="s">
        <v>459</v>
      </c>
      <c r="NT4" t="s">
        <v>460</v>
      </c>
      <c r="NU4" t="s">
        <v>480</v>
      </c>
      <c r="NV4" t="s">
        <v>449</v>
      </c>
      <c r="NW4" t="s">
        <v>445</v>
      </c>
      <c r="NX4" t="s">
        <v>446</v>
      </c>
      <c r="NY4" t="s">
        <v>461</v>
      </c>
      <c r="NZ4" t="s">
        <v>543</v>
      </c>
      <c r="OA4" t="s">
        <v>553</v>
      </c>
      <c r="OB4" t="s">
        <v>544</v>
      </c>
      <c r="OC4" t="s">
        <v>548</v>
      </c>
      <c r="OD4" t="s">
        <v>542</v>
      </c>
      <c r="OE4" t="s">
        <v>549</v>
      </c>
      <c r="OF4" t="s">
        <v>554</v>
      </c>
      <c r="OG4" t="s">
        <v>546</v>
      </c>
      <c r="OH4" t="s">
        <v>547</v>
      </c>
      <c r="OI4" t="s">
        <v>545</v>
      </c>
      <c r="OJ4" t="s">
        <v>555</v>
      </c>
      <c r="OK4" t="s">
        <v>552</v>
      </c>
      <c r="OL4" t="s">
        <v>551</v>
      </c>
      <c r="OM4" t="s">
        <v>550</v>
      </c>
      <c r="ON4" t="s">
        <v>541</v>
      </c>
    </row>
    <row r="6" spans="2:404" ht="15.75" thickBot="1"/>
    <row r="7" spans="2:404" ht="16.5" thickBot="1">
      <c r="B7" s="41" t="s">
        <v>556</v>
      </c>
      <c r="C7" s="41" t="s">
        <v>608</v>
      </c>
      <c r="D7" s="41" t="s">
        <v>233</v>
      </c>
      <c r="E7" s="41" t="s">
        <v>58</v>
      </c>
      <c r="F7" s="41" t="s">
        <v>59</v>
      </c>
      <c r="G7" s="41" t="s">
        <v>60</v>
      </c>
      <c r="H7" s="41" t="s">
        <v>234</v>
      </c>
    </row>
    <row r="8" spans="2:404" ht="15.75" thickBot="1">
      <c r="B8" s="42" t="s">
        <v>507</v>
      </c>
      <c r="C8" s="42"/>
      <c r="D8" s="42" t="s">
        <v>197</v>
      </c>
      <c r="E8" s="42"/>
      <c r="F8" s="42"/>
      <c r="G8" s="42"/>
      <c r="H8" s="42"/>
    </row>
    <row r="9" spans="2:404" ht="45.75" thickBot="1">
      <c r="B9" s="42" t="s">
        <v>398</v>
      </c>
      <c r="C9" s="43" t="s">
        <v>37</v>
      </c>
      <c r="D9" s="42" t="s">
        <v>671</v>
      </c>
      <c r="E9" s="42" t="s">
        <v>735</v>
      </c>
      <c r="F9" s="42"/>
      <c r="G9" s="42"/>
      <c r="H9" s="42"/>
    </row>
    <row r="10" spans="2:404" ht="90.75" thickBot="1">
      <c r="B10" s="42" t="s">
        <v>741</v>
      </c>
      <c r="C10" s="43" t="s">
        <v>948</v>
      </c>
      <c r="D10" s="42" t="s">
        <v>671</v>
      </c>
      <c r="E10" s="42" t="s">
        <v>949</v>
      </c>
      <c r="F10" s="42"/>
      <c r="G10" s="42"/>
      <c r="H10" s="42"/>
    </row>
    <row r="11" spans="2:404" ht="52.5" thickBot="1">
      <c r="B11" s="42" t="s">
        <v>400</v>
      </c>
      <c r="C11" s="42" t="s">
        <v>39</v>
      </c>
      <c r="D11" s="42" t="s">
        <v>1269</v>
      </c>
      <c r="E11" s="42" t="s">
        <v>742</v>
      </c>
      <c r="F11" s="42"/>
      <c r="G11" s="42"/>
      <c r="H11" s="42"/>
    </row>
    <row r="12" spans="2:404" ht="78" thickBot="1">
      <c r="B12" s="42" t="s">
        <v>838</v>
      </c>
      <c r="C12" s="43" t="s">
        <v>950</v>
      </c>
      <c r="D12" s="42" t="s">
        <v>136</v>
      </c>
      <c r="E12" s="42" t="s">
        <v>951</v>
      </c>
      <c r="F12" s="42"/>
      <c r="G12" s="42"/>
      <c r="H12" s="42"/>
    </row>
    <row r="13" spans="2:404" ht="52.5" thickBot="1">
      <c r="B13" s="42" t="s">
        <v>424</v>
      </c>
      <c r="C13" s="42" t="s">
        <v>22</v>
      </c>
      <c r="D13" s="42" t="s">
        <v>75</v>
      </c>
      <c r="E13" s="42" t="s">
        <v>732</v>
      </c>
      <c r="F13" s="42" t="s">
        <v>952</v>
      </c>
      <c r="G13" s="42" t="s">
        <v>953</v>
      </c>
      <c r="H13" s="42" t="s">
        <v>954</v>
      </c>
    </row>
    <row r="14" spans="2:404" ht="103.5" thickBot="1">
      <c r="B14" s="42" t="s">
        <v>719</v>
      </c>
      <c r="C14" s="42" t="s">
        <v>955</v>
      </c>
      <c r="D14" s="42" t="s">
        <v>75</v>
      </c>
      <c r="E14" s="42" t="s">
        <v>728</v>
      </c>
      <c r="F14" s="42" t="s">
        <v>1321</v>
      </c>
      <c r="G14" s="42" t="s">
        <v>957</v>
      </c>
      <c r="H14" s="42" t="s">
        <v>958</v>
      </c>
    </row>
    <row r="15" spans="2:404" ht="52.5" thickBot="1">
      <c r="B15" s="42" t="s">
        <v>428</v>
      </c>
      <c r="C15" s="43" t="s">
        <v>51</v>
      </c>
      <c r="D15" s="42" t="s">
        <v>77</v>
      </c>
      <c r="E15" s="42" t="s">
        <v>742</v>
      </c>
      <c r="F15" s="42" t="s">
        <v>952</v>
      </c>
      <c r="G15" s="42" t="s">
        <v>959</v>
      </c>
      <c r="H15" s="42"/>
    </row>
    <row r="16" spans="2:404" ht="90.75" thickBot="1">
      <c r="B16" s="42" t="s">
        <v>721</v>
      </c>
      <c r="C16" s="42" t="s">
        <v>960</v>
      </c>
      <c r="D16" s="42" t="s">
        <v>77</v>
      </c>
      <c r="E16" s="42" t="s">
        <v>961</v>
      </c>
      <c r="F16" s="42"/>
      <c r="G16" s="42"/>
      <c r="H16" s="42"/>
    </row>
    <row r="17" spans="2:8" ht="52.5" thickBot="1">
      <c r="B17" s="42" t="s">
        <v>429</v>
      </c>
      <c r="C17" s="43" t="s">
        <v>52</v>
      </c>
      <c r="D17" s="42" t="s">
        <v>79</v>
      </c>
      <c r="E17" s="42" t="s">
        <v>742</v>
      </c>
      <c r="F17" s="42" t="s">
        <v>952</v>
      </c>
      <c r="G17" s="42" t="s">
        <v>959</v>
      </c>
      <c r="H17" s="42" t="s">
        <v>962</v>
      </c>
    </row>
    <row r="18" spans="2:8" ht="103.5" thickBot="1">
      <c r="B18" s="42" t="s">
        <v>722</v>
      </c>
      <c r="C18" s="42" t="s">
        <v>963</v>
      </c>
      <c r="D18" s="42" t="s">
        <v>79</v>
      </c>
      <c r="E18" s="42" t="s">
        <v>964</v>
      </c>
      <c r="F18" s="42"/>
      <c r="G18" s="42"/>
      <c r="H18" s="42"/>
    </row>
    <row r="19" spans="2:8" ht="52.5" thickBot="1">
      <c r="B19" s="42" t="s">
        <v>408</v>
      </c>
      <c r="C19" s="43" t="s">
        <v>47</v>
      </c>
      <c r="D19" s="42" t="s">
        <v>141</v>
      </c>
      <c r="E19" s="42" t="s">
        <v>742</v>
      </c>
      <c r="F19" s="42"/>
      <c r="G19" s="42"/>
      <c r="H19" s="42"/>
    </row>
    <row r="20" spans="2:8" ht="78" thickBot="1">
      <c r="B20" s="42" t="s">
        <v>846</v>
      </c>
      <c r="C20" s="43" t="s">
        <v>1250</v>
      </c>
      <c r="D20" s="42" t="s">
        <v>141</v>
      </c>
      <c r="E20" s="42" t="s">
        <v>951</v>
      </c>
      <c r="F20" s="42"/>
      <c r="G20" s="42"/>
      <c r="H20" s="42"/>
    </row>
    <row r="21" spans="2:8" ht="52.5" thickBot="1">
      <c r="B21" s="42" t="s">
        <v>409</v>
      </c>
      <c r="C21" s="43" t="s">
        <v>48</v>
      </c>
      <c r="D21" s="42" t="s">
        <v>142</v>
      </c>
      <c r="E21" s="42" t="s">
        <v>732</v>
      </c>
      <c r="F21" s="42" t="s">
        <v>965</v>
      </c>
      <c r="G21" s="42" t="s">
        <v>966</v>
      </c>
      <c r="H21" s="42"/>
    </row>
    <row r="22" spans="2:8" ht="78" thickBot="1">
      <c r="B22" s="42" t="s">
        <v>847</v>
      </c>
      <c r="C22" s="43" t="s">
        <v>1251</v>
      </c>
      <c r="D22" s="42" t="s">
        <v>142</v>
      </c>
      <c r="E22" s="42" t="s">
        <v>967</v>
      </c>
      <c r="F22" s="42"/>
      <c r="G22" s="42"/>
      <c r="H22" s="42"/>
    </row>
    <row r="23" spans="2:8" ht="39.75" thickBot="1">
      <c r="B23" s="42" t="s">
        <v>375</v>
      </c>
      <c r="C23" s="42"/>
      <c r="D23" s="42" t="s">
        <v>660</v>
      </c>
      <c r="E23" s="42"/>
      <c r="F23" s="42"/>
      <c r="G23" s="42" t="s">
        <v>953</v>
      </c>
      <c r="H23" s="42" t="s">
        <v>954</v>
      </c>
    </row>
    <row r="24" spans="2:8" ht="52.5" thickBot="1">
      <c r="B24" s="42" t="s">
        <v>377</v>
      </c>
      <c r="C24" s="42"/>
      <c r="D24" s="42" t="s">
        <v>800</v>
      </c>
      <c r="E24" s="42" t="s">
        <v>732</v>
      </c>
      <c r="F24" s="42"/>
      <c r="G24" s="42" t="s">
        <v>953</v>
      </c>
      <c r="H24" s="42" t="s">
        <v>954</v>
      </c>
    </row>
    <row r="25" spans="2:8" ht="52.5" thickBot="1">
      <c r="B25" s="42" t="s">
        <v>378</v>
      </c>
      <c r="C25" s="43"/>
      <c r="D25" s="42" t="s">
        <v>662</v>
      </c>
      <c r="E25" s="42" t="s">
        <v>732</v>
      </c>
      <c r="F25" s="42"/>
      <c r="G25" s="42" t="s">
        <v>953</v>
      </c>
      <c r="H25" s="42" t="s">
        <v>954</v>
      </c>
    </row>
    <row r="26" spans="2:8" ht="52.5" thickBot="1">
      <c r="B26" s="42" t="s">
        <v>317</v>
      </c>
      <c r="C26" s="43" t="s">
        <v>0</v>
      </c>
      <c r="D26" s="42" t="s">
        <v>91</v>
      </c>
      <c r="E26" s="42" t="s">
        <v>785</v>
      </c>
      <c r="F26" s="42" t="s">
        <v>968</v>
      </c>
      <c r="G26" s="42" t="s">
        <v>969</v>
      </c>
      <c r="H26" s="42" t="s">
        <v>970</v>
      </c>
    </row>
    <row r="27" spans="2:8" ht="78" thickBot="1">
      <c r="B27" s="42" t="s">
        <v>843</v>
      </c>
      <c r="C27" s="43" t="s">
        <v>1252</v>
      </c>
      <c r="D27" s="42" t="s">
        <v>91</v>
      </c>
      <c r="E27" s="42" t="s">
        <v>971</v>
      </c>
      <c r="F27" s="42"/>
      <c r="G27" s="42"/>
      <c r="H27" s="42"/>
    </row>
    <row r="28" spans="2:8" ht="52.5" thickBot="1">
      <c r="B28" s="42" t="s">
        <v>318</v>
      </c>
      <c r="C28" s="43" t="s">
        <v>1</v>
      </c>
      <c r="D28" s="42" t="s">
        <v>92</v>
      </c>
      <c r="E28" s="42" t="s">
        <v>785</v>
      </c>
      <c r="F28" s="42" t="s">
        <v>972</v>
      </c>
      <c r="G28" s="42" t="s">
        <v>969</v>
      </c>
      <c r="H28" s="42" t="s">
        <v>970</v>
      </c>
    </row>
    <row r="29" spans="2:8" ht="52.5" thickBot="1">
      <c r="B29" s="42" t="s">
        <v>319</v>
      </c>
      <c r="C29" s="42" t="s">
        <v>2</v>
      </c>
      <c r="D29" s="42" t="s">
        <v>93</v>
      </c>
      <c r="E29" s="42" t="s">
        <v>785</v>
      </c>
      <c r="F29" s="42" t="s">
        <v>972</v>
      </c>
      <c r="G29" s="42" t="s">
        <v>969</v>
      </c>
      <c r="H29" s="42" t="s">
        <v>970</v>
      </c>
    </row>
    <row r="30" spans="2:8" ht="78" thickBot="1">
      <c r="B30" s="42" t="s">
        <v>845</v>
      </c>
      <c r="C30" s="43" t="s">
        <v>1253</v>
      </c>
      <c r="D30" s="42" t="s">
        <v>93</v>
      </c>
      <c r="E30" s="42" t="s">
        <v>971</v>
      </c>
      <c r="F30" s="42"/>
      <c r="G30" s="42"/>
      <c r="H30" s="42"/>
    </row>
    <row r="31" spans="2:8" ht="52.5" thickBot="1">
      <c r="B31" s="42" t="s">
        <v>320</v>
      </c>
      <c r="C31" s="43"/>
      <c r="D31" s="42" t="s">
        <v>640</v>
      </c>
      <c r="E31" s="42" t="s">
        <v>785</v>
      </c>
      <c r="F31" s="42" t="s">
        <v>972</v>
      </c>
      <c r="G31" s="42" t="s">
        <v>969</v>
      </c>
      <c r="H31" s="42" t="s">
        <v>970</v>
      </c>
    </row>
    <row r="32" spans="2:8" ht="78" thickBot="1">
      <c r="B32" s="42" t="s">
        <v>844</v>
      </c>
      <c r="C32" s="43" t="s">
        <v>1254</v>
      </c>
      <c r="D32" s="42" t="s">
        <v>640</v>
      </c>
      <c r="E32" s="42" t="s">
        <v>971</v>
      </c>
      <c r="F32" s="42"/>
      <c r="G32" s="42"/>
      <c r="H32" s="42"/>
    </row>
    <row r="33" spans="2:8" ht="52.5" thickBot="1">
      <c r="B33" s="42" t="s">
        <v>322</v>
      </c>
      <c r="C33" s="43" t="s">
        <v>6</v>
      </c>
      <c r="D33" s="42" t="s">
        <v>95</v>
      </c>
      <c r="E33" s="42" t="s">
        <v>742</v>
      </c>
      <c r="F33" s="42"/>
      <c r="G33" s="42" t="s">
        <v>973</v>
      </c>
      <c r="H33" s="42"/>
    </row>
    <row r="34" spans="2:8" ht="78" thickBot="1">
      <c r="B34" s="42" t="s">
        <v>934</v>
      </c>
      <c r="C34" s="43" t="s">
        <v>1243</v>
      </c>
      <c r="D34" s="42" t="s">
        <v>95</v>
      </c>
      <c r="E34" s="42" t="s">
        <v>974</v>
      </c>
      <c r="F34" s="42"/>
      <c r="G34" s="42"/>
      <c r="H34" s="42"/>
    </row>
    <row r="35" spans="2:8" ht="52.5" thickBot="1">
      <c r="B35" s="42" t="s">
        <v>325</v>
      </c>
      <c r="C35" s="43" t="s">
        <v>12</v>
      </c>
      <c r="D35" s="42" t="s">
        <v>99</v>
      </c>
      <c r="E35" s="42" t="s">
        <v>742</v>
      </c>
      <c r="F35" s="42"/>
      <c r="G35" s="42"/>
      <c r="H35" s="42"/>
    </row>
    <row r="36" spans="2:8" ht="78" thickBot="1">
      <c r="B36" s="42" t="s">
        <v>936</v>
      </c>
      <c r="C36" s="42" t="s">
        <v>1255</v>
      </c>
      <c r="D36" s="42" t="s">
        <v>99</v>
      </c>
      <c r="E36" s="42" t="s">
        <v>951</v>
      </c>
      <c r="F36" s="42"/>
      <c r="G36" s="42"/>
      <c r="H36" s="42"/>
    </row>
    <row r="37" spans="2:8" ht="78" thickBot="1">
      <c r="B37" s="42" t="s">
        <v>370</v>
      </c>
      <c r="C37" s="42" t="s">
        <v>20</v>
      </c>
      <c r="D37" s="42" t="s">
        <v>120</v>
      </c>
      <c r="E37" s="42" t="s">
        <v>732</v>
      </c>
      <c r="F37" s="42" t="s">
        <v>975</v>
      </c>
      <c r="G37" s="42" t="s">
        <v>976</v>
      </c>
      <c r="H37" s="42"/>
    </row>
    <row r="38" spans="2:8" ht="78" thickBot="1">
      <c r="B38" s="42" t="s">
        <v>895</v>
      </c>
      <c r="C38" s="43" t="s">
        <v>977</v>
      </c>
      <c r="D38" s="42" t="s">
        <v>120</v>
      </c>
      <c r="E38" s="42" t="s">
        <v>978</v>
      </c>
      <c r="F38" s="42" t="s">
        <v>979</v>
      </c>
      <c r="G38" s="42" t="s">
        <v>976</v>
      </c>
      <c r="H38" s="42"/>
    </row>
    <row r="39" spans="2:8" ht="52.5" thickBot="1">
      <c r="B39" s="42" t="s">
        <v>371</v>
      </c>
      <c r="C39" s="42"/>
      <c r="D39" s="42" t="s">
        <v>658</v>
      </c>
      <c r="E39" s="42" t="s">
        <v>732</v>
      </c>
      <c r="F39" s="42" t="s">
        <v>975</v>
      </c>
      <c r="G39" s="42"/>
      <c r="H39" s="42"/>
    </row>
    <row r="40" spans="2:8" ht="78" thickBot="1">
      <c r="B40" s="42" t="s">
        <v>896</v>
      </c>
      <c r="C40" s="42"/>
      <c r="D40" s="42" t="s">
        <v>658</v>
      </c>
      <c r="E40" s="42" t="s">
        <v>978</v>
      </c>
      <c r="F40" s="42" t="s">
        <v>979</v>
      </c>
      <c r="G40" s="42" t="s">
        <v>907</v>
      </c>
      <c r="H40" s="42"/>
    </row>
    <row r="41" spans="2:8" ht="52.5" thickBot="1">
      <c r="B41" s="42" t="s">
        <v>369</v>
      </c>
      <c r="C41" s="43" t="s">
        <v>19</v>
      </c>
      <c r="D41" s="42" t="s">
        <v>118</v>
      </c>
      <c r="E41" s="42" t="s">
        <v>732</v>
      </c>
      <c r="F41" s="42" t="s">
        <v>975</v>
      </c>
      <c r="G41" s="42"/>
      <c r="H41" s="42"/>
    </row>
    <row r="42" spans="2:8" ht="78" thickBot="1">
      <c r="B42" s="42" t="s">
        <v>897</v>
      </c>
      <c r="C42" s="43" t="s">
        <v>980</v>
      </c>
      <c r="D42" s="42" t="s">
        <v>118</v>
      </c>
      <c r="E42" s="42" t="s">
        <v>978</v>
      </c>
      <c r="F42" s="42" t="s">
        <v>979</v>
      </c>
      <c r="G42" s="42"/>
      <c r="H42" s="42"/>
    </row>
    <row r="43" spans="2:8" ht="65.25" thickBot="1">
      <c r="B43" s="42" t="s">
        <v>365</v>
      </c>
      <c r="C43" s="42"/>
      <c r="D43" s="42" t="s">
        <v>119</v>
      </c>
      <c r="E43" s="42" t="s">
        <v>733</v>
      </c>
      <c r="F43" s="42" t="s">
        <v>981</v>
      </c>
      <c r="G43" s="42" t="s">
        <v>982</v>
      </c>
      <c r="H43" s="42"/>
    </row>
    <row r="44" spans="2:8" ht="103.5" thickBot="1">
      <c r="B44" s="42" t="s">
        <v>899</v>
      </c>
      <c r="C44" s="42" t="s">
        <v>983</v>
      </c>
      <c r="D44" s="42" t="s">
        <v>119</v>
      </c>
      <c r="E44" s="42" t="s">
        <v>984</v>
      </c>
      <c r="F44" s="42" t="s">
        <v>979</v>
      </c>
      <c r="G44" s="42"/>
      <c r="H44" s="42"/>
    </row>
    <row r="45" spans="2:8" ht="52.5" thickBot="1">
      <c r="B45" s="42" t="s">
        <v>798</v>
      </c>
      <c r="C45" s="43"/>
      <c r="D45" s="42" t="s">
        <v>799</v>
      </c>
      <c r="E45" s="42" t="s">
        <v>732</v>
      </c>
      <c r="F45" s="42" t="s">
        <v>975</v>
      </c>
      <c r="G45" s="42"/>
      <c r="H45" s="42"/>
    </row>
    <row r="46" spans="2:8" ht="52.5" thickBot="1">
      <c r="B46" s="42" t="s">
        <v>364</v>
      </c>
      <c r="C46" s="42" t="s">
        <v>16</v>
      </c>
      <c r="D46" s="42" t="s">
        <v>115</v>
      </c>
      <c r="E46" s="42" t="s">
        <v>732</v>
      </c>
      <c r="F46" s="42" t="s">
        <v>975</v>
      </c>
      <c r="G46" s="42"/>
      <c r="H46" s="42"/>
    </row>
    <row r="47" spans="2:8" ht="78" thickBot="1">
      <c r="B47" s="42" t="s">
        <v>898</v>
      </c>
      <c r="C47" s="43" t="s">
        <v>985</v>
      </c>
      <c r="D47" s="42" t="s">
        <v>115</v>
      </c>
      <c r="E47" s="42" t="s">
        <v>978</v>
      </c>
      <c r="F47" s="42" t="s">
        <v>979</v>
      </c>
      <c r="G47" s="42"/>
      <c r="H47" s="42"/>
    </row>
    <row r="48" spans="2:8" ht="52.5" thickBot="1">
      <c r="B48" s="42" t="s">
        <v>366</v>
      </c>
      <c r="C48" s="43" t="s">
        <v>17</v>
      </c>
      <c r="D48" s="42" t="s">
        <v>116</v>
      </c>
      <c r="E48" s="42" t="s">
        <v>734</v>
      </c>
      <c r="F48" s="42" t="s">
        <v>981</v>
      </c>
      <c r="G48" s="42"/>
      <c r="H48" s="42"/>
    </row>
    <row r="49" spans="2:8" ht="78" thickBot="1">
      <c r="B49" s="42" t="s">
        <v>892</v>
      </c>
      <c r="C49" s="43" t="s">
        <v>986</v>
      </c>
      <c r="D49" s="42" t="s">
        <v>116</v>
      </c>
      <c r="E49" s="42" t="s">
        <v>978</v>
      </c>
      <c r="F49" s="42" t="s">
        <v>979</v>
      </c>
      <c r="G49" s="42"/>
      <c r="H49" s="42"/>
    </row>
    <row r="50" spans="2:8" ht="78" thickBot="1">
      <c r="B50" s="42" t="s">
        <v>367</v>
      </c>
      <c r="C50" s="42" t="s">
        <v>18</v>
      </c>
      <c r="D50" s="42" t="s">
        <v>117</v>
      </c>
      <c r="E50" s="42" t="s">
        <v>732</v>
      </c>
      <c r="F50" s="42" t="s">
        <v>975</v>
      </c>
      <c r="G50" s="42" t="s">
        <v>976</v>
      </c>
      <c r="H50" s="42"/>
    </row>
    <row r="51" spans="2:8" ht="78" thickBot="1">
      <c r="B51" s="42" t="s">
        <v>893</v>
      </c>
      <c r="C51" s="43" t="s">
        <v>987</v>
      </c>
      <c r="D51" s="42" t="s">
        <v>117</v>
      </c>
      <c r="E51" s="42" t="s">
        <v>978</v>
      </c>
      <c r="F51" s="42" t="s">
        <v>1287</v>
      </c>
      <c r="G51" s="42" t="s">
        <v>1288</v>
      </c>
      <c r="H51" s="42"/>
    </row>
    <row r="52" spans="2:8" ht="52.5" thickBot="1">
      <c r="B52" s="42" t="s">
        <v>368</v>
      </c>
      <c r="C52" s="42"/>
      <c r="D52" s="42" t="s">
        <v>657</v>
      </c>
      <c r="E52" s="42" t="s">
        <v>732</v>
      </c>
      <c r="F52" s="42" t="s">
        <v>975</v>
      </c>
      <c r="G52" s="42"/>
      <c r="H52" s="42"/>
    </row>
    <row r="53" spans="2:8" ht="78" thickBot="1">
      <c r="B53" s="42" t="s">
        <v>894</v>
      </c>
      <c r="C53" s="42"/>
      <c r="D53" s="42" t="s">
        <v>657</v>
      </c>
      <c r="E53" s="42" t="s">
        <v>978</v>
      </c>
      <c r="F53" s="42" t="s">
        <v>979</v>
      </c>
      <c r="G53" s="42"/>
      <c r="H53" s="42"/>
    </row>
    <row r="54" spans="2:8" ht="52.5" thickBot="1">
      <c r="B54" s="42" t="s">
        <v>372</v>
      </c>
      <c r="C54" s="42" t="s">
        <v>21</v>
      </c>
      <c r="D54" s="42" t="s">
        <v>125</v>
      </c>
      <c r="E54" s="42" t="s">
        <v>732</v>
      </c>
      <c r="F54" s="42"/>
      <c r="G54" s="42" t="s">
        <v>953</v>
      </c>
      <c r="H54" s="42" t="s">
        <v>954</v>
      </c>
    </row>
    <row r="55" spans="2:8" ht="103.5" thickBot="1">
      <c r="B55" s="42" t="s">
        <v>882</v>
      </c>
      <c r="C55" s="43" t="s">
        <v>1256</v>
      </c>
      <c r="D55" s="42" t="s">
        <v>125</v>
      </c>
      <c r="E55" s="42" t="s">
        <v>728</v>
      </c>
      <c r="F55" s="42"/>
      <c r="G55" s="42"/>
      <c r="H55" s="42" t="s">
        <v>988</v>
      </c>
    </row>
    <row r="56" spans="2:8" ht="52.5" thickBot="1">
      <c r="B56" s="42" t="s">
        <v>373</v>
      </c>
      <c r="C56" s="42" t="s">
        <v>1270</v>
      </c>
      <c r="D56" s="42" t="s">
        <v>126</v>
      </c>
      <c r="E56" s="42" t="s">
        <v>732</v>
      </c>
      <c r="F56" s="42" t="s">
        <v>989</v>
      </c>
      <c r="G56" s="42" t="s">
        <v>953</v>
      </c>
      <c r="H56" s="42" t="s">
        <v>954</v>
      </c>
    </row>
    <row r="57" spans="2:8" ht="103.5" thickBot="1">
      <c r="B57" s="42" t="s">
        <v>883</v>
      </c>
      <c r="C57" s="42" t="s">
        <v>1257</v>
      </c>
      <c r="D57" s="42" t="s">
        <v>126</v>
      </c>
      <c r="E57" s="42" t="s">
        <v>728</v>
      </c>
      <c r="F57" s="42" t="s">
        <v>989</v>
      </c>
      <c r="G57" s="42"/>
      <c r="H57" s="42" t="s">
        <v>990</v>
      </c>
    </row>
    <row r="58" spans="2:8" ht="52.5" thickBot="1">
      <c r="B58" s="42" t="s">
        <v>374</v>
      </c>
      <c r="C58" s="42" t="s">
        <v>1271</v>
      </c>
      <c r="D58" s="42" t="s">
        <v>659</v>
      </c>
      <c r="E58" s="42" t="s">
        <v>732</v>
      </c>
      <c r="F58" s="42" t="s">
        <v>989</v>
      </c>
      <c r="G58" s="42"/>
      <c r="H58" s="42"/>
    </row>
    <row r="59" spans="2:8" ht="78" thickBot="1">
      <c r="B59" s="42" t="s">
        <v>900</v>
      </c>
      <c r="C59" s="42" t="s">
        <v>1258</v>
      </c>
      <c r="D59" s="42" t="s">
        <v>659</v>
      </c>
      <c r="E59" s="42" t="s">
        <v>991</v>
      </c>
      <c r="F59" s="42"/>
      <c r="G59" s="42"/>
      <c r="H59" s="42"/>
    </row>
    <row r="60" spans="2:8" ht="52.5" thickBot="1">
      <c r="B60" s="42" t="s">
        <v>323</v>
      </c>
      <c r="C60" s="42" t="s">
        <v>10</v>
      </c>
      <c r="D60" s="42" t="s">
        <v>96</v>
      </c>
      <c r="E60" s="42" t="s">
        <v>742</v>
      </c>
      <c r="F60" s="42"/>
      <c r="G60" s="42"/>
      <c r="H60" s="42"/>
    </row>
    <row r="61" spans="2:8" ht="78" thickBot="1">
      <c r="B61" s="42" t="s">
        <v>935</v>
      </c>
      <c r="C61" s="42" t="s">
        <v>1259</v>
      </c>
      <c r="D61" s="42" t="s">
        <v>96</v>
      </c>
      <c r="E61" s="42" t="s">
        <v>951</v>
      </c>
      <c r="F61" s="42"/>
      <c r="G61" s="42"/>
      <c r="H61" s="42"/>
    </row>
    <row r="62" spans="2:8" ht="52.5" thickBot="1">
      <c r="B62" s="42" t="s">
        <v>324</v>
      </c>
      <c r="C62" s="42" t="s">
        <v>11</v>
      </c>
      <c r="D62" s="42" t="s">
        <v>98</v>
      </c>
      <c r="E62" s="42" t="s">
        <v>742</v>
      </c>
      <c r="F62" s="42"/>
      <c r="G62" s="42"/>
      <c r="H62" s="42"/>
    </row>
    <row r="63" spans="2:8" ht="103.5" thickBot="1">
      <c r="B63" s="42" t="s">
        <v>868</v>
      </c>
      <c r="C63" s="42" t="s">
        <v>1260</v>
      </c>
      <c r="D63" s="42" t="s">
        <v>98</v>
      </c>
      <c r="E63" s="42" t="s">
        <v>728</v>
      </c>
      <c r="F63" s="42"/>
      <c r="G63" s="42"/>
      <c r="H63" s="42"/>
    </row>
    <row r="64" spans="2:8" ht="65.25" thickBot="1">
      <c r="B64" s="42" t="s">
        <v>327</v>
      </c>
      <c r="C64" s="42"/>
      <c r="D64" s="42" t="s">
        <v>642</v>
      </c>
      <c r="E64" s="42" t="s">
        <v>789</v>
      </c>
      <c r="F64" s="42" t="s">
        <v>992</v>
      </c>
      <c r="G64" s="42" t="s">
        <v>903</v>
      </c>
      <c r="H64" s="42" t="s">
        <v>993</v>
      </c>
    </row>
    <row r="65" spans="2:8" ht="90.75" thickBot="1">
      <c r="B65" s="42" t="s">
        <v>937</v>
      </c>
      <c r="C65" s="42" t="s">
        <v>1261</v>
      </c>
      <c r="D65" s="42" t="s">
        <v>642</v>
      </c>
      <c r="E65" s="42" t="s">
        <v>994</v>
      </c>
      <c r="F65" s="42"/>
      <c r="G65" s="42"/>
      <c r="H65" s="42"/>
    </row>
    <row r="66" spans="2:8" ht="52.5" thickBot="1">
      <c r="B66" s="42" t="s">
        <v>330</v>
      </c>
      <c r="C66" s="42"/>
      <c r="D66" s="42" t="s">
        <v>643</v>
      </c>
      <c r="E66" s="42" t="s">
        <v>733</v>
      </c>
      <c r="F66" s="42" t="s">
        <v>995</v>
      </c>
      <c r="G66" s="42" t="s">
        <v>996</v>
      </c>
      <c r="H66" s="42" t="s">
        <v>997</v>
      </c>
    </row>
    <row r="67" spans="2:8" ht="78" thickBot="1">
      <c r="B67" s="42" t="s">
        <v>901</v>
      </c>
      <c r="C67" s="42" t="s">
        <v>998</v>
      </c>
      <c r="D67" s="42" t="s">
        <v>643</v>
      </c>
      <c r="E67" s="42" t="s">
        <v>999</v>
      </c>
      <c r="F67" s="42" t="s">
        <v>995</v>
      </c>
      <c r="G67" s="42" t="s">
        <v>996</v>
      </c>
      <c r="H67" s="42" t="s">
        <v>1000</v>
      </c>
    </row>
    <row r="68" spans="2:8" ht="52.5" thickBot="1">
      <c r="B68" s="42" t="s">
        <v>342</v>
      </c>
      <c r="C68" s="42"/>
      <c r="D68" s="42" t="s">
        <v>112</v>
      </c>
      <c r="E68" s="42" t="s">
        <v>733</v>
      </c>
      <c r="F68" s="42"/>
      <c r="G68" s="42"/>
      <c r="H68" s="42"/>
    </row>
    <row r="69" spans="2:8" ht="52.5" thickBot="1">
      <c r="B69" s="42" t="s">
        <v>321</v>
      </c>
      <c r="C69" s="42"/>
      <c r="D69" s="42" t="s">
        <v>94</v>
      </c>
      <c r="E69" s="42" t="s">
        <v>786</v>
      </c>
      <c r="F69" s="42"/>
      <c r="G69" s="42"/>
      <c r="H69" s="42"/>
    </row>
    <row r="70" spans="2:8" ht="52.5" thickBot="1">
      <c r="B70" s="42" t="s">
        <v>598</v>
      </c>
      <c r="C70" s="42"/>
      <c r="D70" s="42" t="s">
        <v>599</v>
      </c>
      <c r="E70" s="42" t="s">
        <v>742</v>
      </c>
      <c r="F70" s="42" t="s">
        <v>1001</v>
      </c>
      <c r="G70" s="42" t="s">
        <v>1002</v>
      </c>
      <c r="H70" s="42"/>
    </row>
    <row r="71" spans="2:8" ht="27" thickBot="1">
      <c r="B71" s="42" t="s">
        <v>787</v>
      </c>
      <c r="C71" s="43"/>
      <c r="D71" s="42" t="s">
        <v>788</v>
      </c>
      <c r="E71" s="42" t="s">
        <v>736</v>
      </c>
      <c r="F71" s="42"/>
      <c r="G71" s="42"/>
      <c r="H71" s="42"/>
    </row>
    <row r="72" spans="2:8" ht="52.5" thickBot="1">
      <c r="B72" s="42" t="s">
        <v>326</v>
      </c>
      <c r="C72" s="43"/>
      <c r="D72" s="42" t="s">
        <v>641</v>
      </c>
      <c r="E72" s="42" t="s">
        <v>733</v>
      </c>
      <c r="F72" s="42" t="s">
        <v>1003</v>
      </c>
      <c r="G72" s="42"/>
      <c r="H72" s="42"/>
    </row>
    <row r="73" spans="2:8" ht="52.5" thickBot="1">
      <c r="B73" s="42" t="s">
        <v>328</v>
      </c>
      <c r="C73" s="42"/>
      <c r="D73" s="42" t="s">
        <v>107</v>
      </c>
      <c r="E73" s="42" t="s">
        <v>733</v>
      </c>
      <c r="F73" s="42"/>
      <c r="G73" s="42"/>
      <c r="H73" s="42"/>
    </row>
    <row r="74" spans="2:8" ht="52.5" thickBot="1">
      <c r="B74" s="42" t="s">
        <v>329</v>
      </c>
      <c r="C74" s="42"/>
      <c r="D74" s="42" t="s">
        <v>108</v>
      </c>
      <c r="E74" s="42" t="s">
        <v>733</v>
      </c>
      <c r="F74" s="42" t="s">
        <v>1004</v>
      </c>
      <c r="G74" s="42"/>
      <c r="H74" s="42"/>
    </row>
    <row r="75" spans="2:8" ht="52.5" thickBot="1">
      <c r="B75" s="42" t="s">
        <v>331</v>
      </c>
      <c r="C75" s="42"/>
      <c r="D75" s="42" t="s">
        <v>644</v>
      </c>
      <c r="E75" s="42" t="s">
        <v>733</v>
      </c>
      <c r="F75" s="42"/>
      <c r="G75" s="42" t="s">
        <v>953</v>
      </c>
      <c r="H75" s="42" t="s">
        <v>954</v>
      </c>
    </row>
    <row r="76" spans="2:8" ht="52.5" thickBot="1">
      <c r="B76" s="42" t="s">
        <v>332</v>
      </c>
      <c r="C76" s="42"/>
      <c r="D76" s="42" t="s">
        <v>645</v>
      </c>
      <c r="E76" s="42" t="s">
        <v>733</v>
      </c>
      <c r="F76" s="42"/>
      <c r="G76" s="42" t="s">
        <v>953</v>
      </c>
      <c r="H76" s="42" t="s">
        <v>954</v>
      </c>
    </row>
    <row r="77" spans="2:8" ht="52.5" thickBot="1">
      <c r="B77" s="42" t="s">
        <v>333</v>
      </c>
      <c r="C77" s="42"/>
      <c r="D77" s="42" t="s">
        <v>110</v>
      </c>
      <c r="E77" s="42" t="s">
        <v>733</v>
      </c>
      <c r="F77" s="42" t="s">
        <v>1005</v>
      </c>
      <c r="G77" s="42" t="s">
        <v>953</v>
      </c>
      <c r="H77" s="42" t="s">
        <v>954</v>
      </c>
    </row>
    <row r="78" spans="2:8" ht="52.5" thickBot="1">
      <c r="B78" s="42" t="s">
        <v>334</v>
      </c>
      <c r="C78" s="42"/>
      <c r="D78" s="42" t="s">
        <v>111</v>
      </c>
      <c r="E78" s="42" t="s">
        <v>733</v>
      </c>
      <c r="F78" s="42" t="s">
        <v>1005</v>
      </c>
      <c r="G78" s="42" t="s">
        <v>953</v>
      </c>
      <c r="H78" s="42" t="s">
        <v>954</v>
      </c>
    </row>
    <row r="79" spans="2:8" ht="52.5" thickBot="1">
      <c r="B79" s="42" t="s">
        <v>335</v>
      </c>
      <c r="C79" s="42"/>
      <c r="D79" s="42" t="s">
        <v>646</v>
      </c>
      <c r="E79" s="42" t="s">
        <v>733</v>
      </c>
      <c r="F79" s="42" t="s">
        <v>1006</v>
      </c>
      <c r="G79" s="42" t="s">
        <v>953</v>
      </c>
      <c r="H79" s="42" t="s">
        <v>954</v>
      </c>
    </row>
    <row r="80" spans="2:8" ht="52.5" thickBot="1">
      <c r="B80" s="42" t="s">
        <v>336</v>
      </c>
      <c r="C80" s="43"/>
      <c r="D80" s="42" t="s">
        <v>647</v>
      </c>
      <c r="E80" s="42" t="s">
        <v>733</v>
      </c>
      <c r="F80" s="42" t="s">
        <v>736</v>
      </c>
      <c r="G80" s="42"/>
      <c r="H80" s="42"/>
    </row>
    <row r="81" spans="2:8" ht="52.5" thickBot="1">
      <c r="B81" s="42" t="s">
        <v>337</v>
      </c>
      <c r="C81" s="42"/>
      <c r="D81" s="42" t="s">
        <v>648</v>
      </c>
      <c r="E81" s="42" t="s">
        <v>733</v>
      </c>
      <c r="F81" s="42" t="s">
        <v>735</v>
      </c>
      <c r="G81" s="42" t="s">
        <v>953</v>
      </c>
      <c r="H81" s="42" t="s">
        <v>954</v>
      </c>
    </row>
    <row r="82" spans="2:8" ht="52.5" thickBot="1">
      <c r="B82" s="42" t="s">
        <v>338</v>
      </c>
      <c r="C82" s="42"/>
      <c r="D82" s="42" t="s">
        <v>649</v>
      </c>
      <c r="E82" s="42" t="s">
        <v>733</v>
      </c>
      <c r="F82" s="42" t="s">
        <v>735</v>
      </c>
      <c r="G82" s="42"/>
      <c r="H82" s="42"/>
    </row>
    <row r="83" spans="2:8" ht="52.5" thickBot="1">
      <c r="B83" s="42" t="s">
        <v>339</v>
      </c>
      <c r="C83" s="42"/>
      <c r="D83" s="42" t="s">
        <v>650</v>
      </c>
      <c r="E83" s="42" t="s">
        <v>733</v>
      </c>
      <c r="F83" s="42" t="s">
        <v>735</v>
      </c>
      <c r="G83" s="42" t="s">
        <v>953</v>
      </c>
      <c r="H83" s="42" t="s">
        <v>954</v>
      </c>
    </row>
    <row r="84" spans="2:8" ht="52.5" thickBot="1">
      <c r="B84" s="42" t="s">
        <v>340</v>
      </c>
      <c r="C84" s="42"/>
      <c r="D84" s="42" t="s">
        <v>651</v>
      </c>
      <c r="E84" s="42" t="s">
        <v>733</v>
      </c>
      <c r="F84" s="42"/>
      <c r="G84" s="42" t="s">
        <v>953</v>
      </c>
      <c r="H84" s="42" t="s">
        <v>954</v>
      </c>
    </row>
    <row r="85" spans="2:8" ht="52.5" thickBot="1">
      <c r="B85" s="42" t="s">
        <v>341</v>
      </c>
      <c r="C85" s="42"/>
      <c r="D85" s="42" t="s">
        <v>100</v>
      </c>
      <c r="E85" s="42" t="s">
        <v>733</v>
      </c>
      <c r="F85" s="42" t="s">
        <v>736</v>
      </c>
      <c r="G85" s="42"/>
      <c r="H85" s="42"/>
    </row>
    <row r="86" spans="2:8" ht="52.5" thickBot="1">
      <c r="B86" s="42" t="s">
        <v>343</v>
      </c>
      <c r="C86" s="42"/>
      <c r="D86" s="42" t="s">
        <v>790</v>
      </c>
      <c r="E86" s="42" t="s">
        <v>733</v>
      </c>
      <c r="F86" s="42"/>
      <c r="G86" s="42"/>
      <c r="H86" s="42"/>
    </row>
    <row r="87" spans="2:8" ht="52.5" thickBot="1">
      <c r="B87" s="42" t="s">
        <v>344</v>
      </c>
      <c r="C87" s="42"/>
      <c r="D87" s="42" t="s">
        <v>791</v>
      </c>
      <c r="E87" s="42" t="s">
        <v>733</v>
      </c>
      <c r="F87" s="42"/>
      <c r="G87" s="42"/>
      <c r="H87" s="42"/>
    </row>
    <row r="88" spans="2:8" ht="52.5" thickBot="1">
      <c r="B88" s="42" t="s">
        <v>345</v>
      </c>
      <c r="C88" s="42"/>
      <c r="D88" s="42" t="s">
        <v>792</v>
      </c>
      <c r="E88" s="42" t="s">
        <v>733</v>
      </c>
      <c r="F88" s="42" t="s">
        <v>1004</v>
      </c>
      <c r="G88" s="42"/>
      <c r="H88" s="42"/>
    </row>
    <row r="89" spans="2:8" ht="52.5" thickBot="1">
      <c r="B89" s="42" t="s">
        <v>346</v>
      </c>
      <c r="C89" s="42"/>
      <c r="D89" s="42" t="s">
        <v>109</v>
      </c>
      <c r="E89" s="42" t="s">
        <v>733</v>
      </c>
      <c r="F89" s="42" t="s">
        <v>1005</v>
      </c>
      <c r="G89" s="42" t="s">
        <v>1007</v>
      </c>
      <c r="H89" s="42"/>
    </row>
    <row r="90" spans="2:8" ht="52.5" thickBot="1">
      <c r="B90" s="42" t="s">
        <v>347</v>
      </c>
      <c r="C90" s="42"/>
      <c r="D90" s="42" t="s">
        <v>113</v>
      </c>
      <c r="E90" s="42" t="s">
        <v>733</v>
      </c>
      <c r="F90" s="42" t="s">
        <v>1008</v>
      </c>
      <c r="G90" s="42" t="s">
        <v>1009</v>
      </c>
      <c r="H90" s="42" t="s">
        <v>1010</v>
      </c>
    </row>
    <row r="91" spans="2:8" ht="52.5" thickBot="1">
      <c r="B91" s="42" t="s">
        <v>348</v>
      </c>
      <c r="C91" s="42"/>
      <c r="D91" s="42" t="s">
        <v>114</v>
      </c>
      <c r="E91" s="42" t="s">
        <v>733</v>
      </c>
      <c r="F91" s="42" t="s">
        <v>1008</v>
      </c>
      <c r="G91" s="42" t="s">
        <v>1011</v>
      </c>
      <c r="H91" s="42"/>
    </row>
    <row r="92" spans="2:8" ht="52.5" thickBot="1">
      <c r="B92" s="42" t="s">
        <v>349</v>
      </c>
      <c r="C92" s="42"/>
      <c r="D92" s="42" t="s">
        <v>652</v>
      </c>
      <c r="E92" s="42" t="s">
        <v>733</v>
      </c>
      <c r="F92" s="42" t="s">
        <v>1008</v>
      </c>
      <c r="G92" s="42" t="s">
        <v>1011</v>
      </c>
      <c r="H92" s="42" t="s">
        <v>758</v>
      </c>
    </row>
    <row r="93" spans="2:8" ht="52.5" thickBot="1">
      <c r="B93" s="42" t="s">
        <v>350</v>
      </c>
      <c r="C93" s="42"/>
      <c r="D93" s="42" t="s">
        <v>101</v>
      </c>
      <c r="E93" s="42" t="s">
        <v>733</v>
      </c>
      <c r="F93" s="42" t="s">
        <v>1012</v>
      </c>
      <c r="G93" s="42" t="s">
        <v>953</v>
      </c>
      <c r="H93" s="42" t="s">
        <v>1013</v>
      </c>
    </row>
    <row r="94" spans="2:8" ht="52.5" thickBot="1">
      <c r="B94" s="42" t="s">
        <v>351</v>
      </c>
      <c r="C94" s="42"/>
      <c r="D94" s="42" t="s">
        <v>653</v>
      </c>
      <c r="E94" s="42" t="s">
        <v>733</v>
      </c>
      <c r="F94" s="42" t="s">
        <v>1014</v>
      </c>
      <c r="G94" s="42" t="s">
        <v>953</v>
      </c>
      <c r="H94" s="42" t="s">
        <v>954</v>
      </c>
    </row>
    <row r="95" spans="2:8" ht="52.5" thickBot="1">
      <c r="B95" s="42" t="s">
        <v>352</v>
      </c>
      <c r="C95" s="42"/>
      <c r="D95" s="42" t="s">
        <v>102</v>
      </c>
      <c r="E95" s="42" t="s">
        <v>793</v>
      </c>
      <c r="F95" s="42" t="s">
        <v>1015</v>
      </c>
      <c r="G95" s="42" t="s">
        <v>1016</v>
      </c>
      <c r="H95" s="42" t="s">
        <v>1017</v>
      </c>
    </row>
    <row r="96" spans="2:8" ht="52.5" thickBot="1">
      <c r="B96" s="42" t="s">
        <v>353</v>
      </c>
      <c r="C96" s="42"/>
      <c r="D96" s="42" t="s">
        <v>103</v>
      </c>
      <c r="E96" s="42" t="s">
        <v>793</v>
      </c>
      <c r="F96" s="42" t="s">
        <v>1015</v>
      </c>
      <c r="G96" s="42" t="s">
        <v>1016</v>
      </c>
      <c r="H96" s="42" t="s">
        <v>1017</v>
      </c>
    </row>
    <row r="97" spans="2:8" ht="90.75" thickBot="1">
      <c r="B97" s="42" t="s">
        <v>1315</v>
      </c>
      <c r="C97" s="42"/>
      <c r="D97" s="42" t="s">
        <v>1316</v>
      </c>
      <c r="E97" s="42"/>
      <c r="F97" s="42"/>
      <c r="G97" s="42"/>
      <c r="H97" s="42" t="s">
        <v>1022</v>
      </c>
    </row>
    <row r="98" spans="2:8" ht="103.5" thickBot="1">
      <c r="B98" s="42" t="s">
        <v>1320</v>
      </c>
      <c r="C98" s="42"/>
      <c r="D98" s="44" t="s">
        <v>1317</v>
      </c>
      <c r="E98" s="42" t="s">
        <v>728</v>
      </c>
      <c r="F98" s="42" t="s">
        <v>1319</v>
      </c>
      <c r="G98" s="42"/>
      <c r="H98" s="42" t="s">
        <v>1318</v>
      </c>
    </row>
    <row r="99" spans="2:8" ht="52.5" thickBot="1">
      <c r="B99" s="42" t="s">
        <v>403</v>
      </c>
      <c r="C99" s="42"/>
      <c r="D99" s="42" t="s">
        <v>875</v>
      </c>
      <c r="E99" s="42" t="s">
        <v>732</v>
      </c>
      <c r="F99" s="42" t="s">
        <v>1018</v>
      </c>
      <c r="G99" s="42" t="s">
        <v>1019</v>
      </c>
      <c r="H99" s="42" t="s">
        <v>1020</v>
      </c>
    </row>
    <row r="100" spans="2:8" ht="103.5" thickBot="1">
      <c r="B100" s="42" t="s">
        <v>850</v>
      </c>
      <c r="C100" s="43" t="s">
        <v>1021</v>
      </c>
      <c r="D100" s="42" t="s">
        <v>876</v>
      </c>
      <c r="E100" s="42" t="s">
        <v>858</v>
      </c>
      <c r="F100" s="42" t="s">
        <v>1018</v>
      </c>
      <c r="G100" s="42"/>
      <c r="H100" s="42" t="s">
        <v>1022</v>
      </c>
    </row>
    <row r="101" spans="2:8" ht="52.5" thickBot="1">
      <c r="B101" s="42" t="s">
        <v>404</v>
      </c>
      <c r="C101" s="43"/>
      <c r="D101" s="42" t="s">
        <v>807</v>
      </c>
      <c r="E101" s="42" t="s">
        <v>742</v>
      </c>
      <c r="F101" s="42" t="s">
        <v>1023</v>
      </c>
      <c r="G101" s="42" t="s">
        <v>1019</v>
      </c>
      <c r="H101" s="42" t="s">
        <v>1020</v>
      </c>
    </row>
    <row r="102" spans="2:8" ht="103.5" thickBot="1">
      <c r="B102" s="42" t="s">
        <v>714</v>
      </c>
      <c r="C102" s="43" t="s">
        <v>1024</v>
      </c>
      <c r="D102" s="42" t="s">
        <v>673</v>
      </c>
      <c r="E102" s="42" t="s">
        <v>857</v>
      </c>
      <c r="F102" s="42" t="s">
        <v>1289</v>
      </c>
      <c r="G102" s="42"/>
      <c r="H102" s="42" t="s">
        <v>1290</v>
      </c>
    </row>
    <row r="103" spans="2:8" ht="52.5" thickBot="1">
      <c r="B103" s="42" t="s">
        <v>405</v>
      </c>
      <c r="C103" s="42" t="s">
        <v>43</v>
      </c>
      <c r="D103" s="42" t="s">
        <v>138</v>
      </c>
      <c r="E103" s="42" t="s">
        <v>742</v>
      </c>
      <c r="F103" s="42" t="s">
        <v>1291</v>
      </c>
      <c r="G103" s="42"/>
      <c r="H103" s="42"/>
    </row>
    <row r="104" spans="2:8" ht="78" thickBot="1">
      <c r="B104" s="42" t="s">
        <v>840</v>
      </c>
      <c r="C104" s="42" t="s">
        <v>1244</v>
      </c>
      <c r="D104" s="42" t="s">
        <v>138</v>
      </c>
      <c r="E104" s="42" t="s">
        <v>974</v>
      </c>
      <c r="F104" s="42"/>
      <c r="G104" s="42"/>
      <c r="H104" s="42"/>
    </row>
    <row r="105" spans="2:8" ht="52.5" thickBot="1">
      <c r="B105" s="42" t="s">
        <v>406</v>
      </c>
      <c r="C105" s="42" t="s">
        <v>45</v>
      </c>
      <c r="D105" s="42" t="s">
        <v>139</v>
      </c>
      <c r="E105" s="42" t="s">
        <v>742</v>
      </c>
      <c r="F105" s="42" t="s">
        <v>735</v>
      </c>
      <c r="G105" s="42"/>
      <c r="H105" s="42"/>
    </row>
    <row r="106" spans="2:8" ht="78" thickBot="1">
      <c r="B106" s="42" t="s">
        <v>842</v>
      </c>
      <c r="C106" s="42" t="s">
        <v>1245</v>
      </c>
      <c r="D106" s="42" t="s">
        <v>139</v>
      </c>
      <c r="E106" s="42" t="s">
        <v>974</v>
      </c>
      <c r="F106" s="42"/>
      <c r="G106" s="42"/>
      <c r="H106" s="42"/>
    </row>
    <row r="107" spans="2:8" ht="52.5" thickBot="1">
      <c r="B107" s="42" t="s">
        <v>407</v>
      </c>
      <c r="C107" s="42"/>
      <c r="D107" s="42" t="s">
        <v>140</v>
      </c>
      <c r="E107" s="42" t="s">
        <v>742</v>
      </c>
      <c r="F107" s="42" t="s">
        <v>1001</v>
      </c>
      <c r="G107" s="42" t="s">
        <v>1002</v>
      </c>
      <c r="H107" s="42"/>
    </row>
    <row r="108" spans="2:8" ht="52.5" thickBot="1">
      <c r="B108" s="42" t="s">
        <v>410</v>
      </c>
      <c r="C108" s="42" t="s">
        <v>49</v>
      </c>
      <c r="D108" s="42" t="s">
        <v>143</v>
      </c>
      <c r="E108" s="42" t="s">
        <v>732</v>
      </c>
      <c r="F108" s="42"/>
      <c r="G108" s="42" t="s">
        <v>1025</v>
      </c>
      <c r="H108" s="42"/>
    </row>
    <row r="109" spans="2:8" ht="78" thickBot="1">
      <c r="B109" s="42" t="s">
        <v>848</v>
      </c>
      <c r="C109" s="43" t="s">
        <v>1262</v>
      </c>
      <c r="D109" s="42" t="s">
        <v>143</v>
      </c>
      <c r="E109" s="42" t="s">
        <v>1026</v>
      </c>
      <c r="F109" s="42"/>
      <c r="G109" s="42"/>
      <c r="H109" s="42"/>
    </row>
    <row r="110" spans="2:8" ht="52.5" thickBot="1">
      <c r="B110" s="42" t="s">
        <v>411</v>
      </c>
      <c r="C110" s="43" t="s">
        <v>50</v>
      </c>
      <c r="D110" s="42" t="s">
        <v>144</v>
      </c>
      <c r="E110" s="42" t="s">
        <v>742</v>
      </c>
      <c r="F110" s="42"/>
      <c r="G110" s="42"/>
      <c r="H110" s="42"/>
    </row>
    <row r="111" spans="2:8" ht="78" thickBot="1">
      <c r="B111" s="42" t="s">
        <v>849</v>
      </c>
      <c r="C111" s="43" t="s">
        <v>1263</v>
      </c>
      <c r="D111" s="42" t="s">
        <v>144</v>
      </c>
      <c r="E111" s="42" t="s">
        <v>951</v>
      </c>
      <c r="F111" s="42"/>
      <c r="G111" s="42"/>
      <c r="H111" s="42"/>
    </row>
    <row r="112" spans="2:8" ht="52.5" thickBot="1">
      <c r="B112" s="42" t="s">
        <v>412</v>
      </c>
      <c r="C112" s="42"/>
      <c r="D112" s="42" t="s">
        <v>674</v>
      </c>
      <c r="E112" s="42" t="s">
        <v>732</v>
      </c>
      <c r="F112" s="42" t="s">
        <v>1292</v>
      </c>
      <c r="G112" s="42" t="s">
        <v>1293</v>
      </c>
      <c r="H112" s="42"/>
    </row>
    <row r="113" spans="2:8" ht="78" thickBot="1">
      <c r="B113" s="42" t="s">
        <v>932</v>
      </c>
      <c r="C113" s="42" t="s">
        <v>1029</v>
      </c>
      <c r="D113" s="42" t="s">
        <v>674</v>
      </c>
      <c r="E113" s="42" t="s">
        <v>1030</v>
      </c>
      <c r="F113" s="42" t="s">
        <v>1028</v>
      </c>
      <c r="G113" s="42"/>
      <c r="H113" s="42"/>
    </row>
    <row r="114" spans="2:8" ht="52.5" thickBot="1">
      <c r="B114" s="42" t="s">
        <v>413</v>
      </c>
      <c r="C114" s="43"/>
      <c r="D114" s="42" t="s">
        <v>675</v>
      </c>
      <c r="E114" s="42" t="s">
        <v>732</v>
      </c>
      <c r="F114" s="42" t="s">
        <v>1027</v>
      </c>
      <c r="G114" s="42" t="s">
        <v>1028</v>
      </c>
      <c r="H114" s="42"/>
    </row>
    <row r="115" spans="2:8" ht="78" thickBot="1">
      <c r="B115" s="42" t="s">
        <v>933</v>
      </c>
      <c r="C115" s="43" t="s">
        <v>1031</v>
      </c>
      <c r="D115" s="42" t="s">
        <v>675</v>
      </c>
      <c r="E115" s="42" t="s">
        <v>1032</v>
      </c>
      <c r="F115" s="42" t="s">
        <v>1028</v>
      </c>
      <c r="G115" s="42"/>
      <c r="H115" s="42"/>
    </row>
    <row r="116" spans="2:8" ht="52.5" thickBot="1">
      <c r="B116" s="42" t="s">
        <v>414</v>
      </c>
      <c r="C116" s="42" t="s">
        <v>55</v>
      </c>
      <c r="D116" s="42" t="s">
        <v>146</v>
      </c>
      <c r="E116" s="42" t="s">
        <v>742</v>
      </c>
      <c r="F116" s="42" t="s">
        <v>1291</v>
      </c>
      <c r="G116" s="42"/>
      <c r="H116" s="42"/>
    </row>
    <row r="117" spans="2:8" ht="78" thickBot="1">
      <c r="B117" s="42" t="s">
        <v>841</v>
      </c>
      <c r="C117" s="43" t="s">
        <v>1246</v>
      </c>
      <c r="D117" s="42" t="s">
        <v>146</v>
      </c>
      <c r="E117" s="42" t="s">
        <v>974</v>
      </c>
      <c r="F117" s="42"/>
      <c r="G117" s="42"/>
      <c r="H117" s="42"/>
    </row>
    <row r="118" spans="2:8" ht="52.5" thickBot="1">
      <c r="B118" s="42" t="s">
        <v>415</v>
      </c>
      <c r="C118" s="43"/>
      <c r="D118" s="42" t="s">
        <v>145</v>
      </c>
      <c r="E118" s="42" t="s">
        <v>742</v>
      </c>
      <c r="F118" s="42" t="s">
        <v>1001</v>
      </c>
      <c r="G118" s="42" t="s">
        <v>1002</v>
      </c>
      <c r="H118" s="42"/>
    </row>
    <row r="119" spans="2:8" ht="52.5" thickBot="1">
      <c r="B119" s="42" t="s">
        <v>600</v>
      </c>
      <c r="C119" s="42"/>
      <c r="D119" s="42" t="s">
        <v>669</v>
      </c>
      <c r="E119" s="42" t="s">
        <v>804</v>
      </c>
      <c r="F119" s="42" t="s">
        <v>1033</v>
      </c>
      <c r="G119" s="42" t="s">
        <v>953</v>
      </c>
      <c r="H119" s="42" t="s">
        <v>954</v>
      </c>
    </row>
    <row r="120" spans="2:8" ht="103.5" thickBot="1">
      <c r="B120" s="42" t="s">
        <v>861</v>
      </c>
      <c r="C120" s="42" t="s">
        <v>1232</v>
      </c>
      <c r="D120" s="42" t="s">
        <v>862</v>
      </c>
      <c r="E120" s="42" t="s">
        <v>867</v>
      </c>
      <c r="F120" s="42"/>
      <c r="G120" s="42" t="s">
        <v>1034</v>
      </c>
      <c r="H120" s="42" t="s">
        <v>1035</v>
      </c>
    </row>
    <row r="121" spans="2:8" ht="52.5" thickBot="1">
      <c r="B121" s="42" t="s">
        <v>601</v>
      </c>
      <c r="C121" s="42"/>
      <c r="D121" s="42" t="s">
        <v>806</v>
      </c>
      <c r="E121" s="42" t="s">
        <v>805</v>
      </c>
      <c r="F121" s="42" t="s">
        <v>1036</v>
      </c>
      <c r="G121" s="42" t="s">
        <v>1034</v>
      </c>
      <c r="H121" s="42"/>
    </row>
    <row r="122" spans="2:8" ht="52.5" thickBot="1">
      <c r="B122" s="42" t="s">
        <v>593</v>
      </c>
      <c r="C122" s="42"/>
      <c r="D122" s="42" t="s">
        <v>587</v>
      </c>
      <c r="E122" s="42" t="s">
        <v>804</v>
      </c>
      <c r="F122" s="42"/>
      <c r="G122" s="42" t="s">
        <v>953</v>
      </c>
      <c r="H122" s="42" t="s">
        <v>954</v>
      </c>
    </row>
    <row r="123" spans="2:8" ht="103.5" thickBot="1">
      <c r="B123" s="42" t="s">
        <v>863</v>
      </c>
      <c r="C123" s="42" t="s">
        <v>1233</v>
      </c>
      <c r="D123" s="42" t="s">
        <v>587</v>
      </c>
      <c r="E123" s="42" t="s">
        <v>867</v>
      </c>
      <c r="F123" s="42"/>
      <c r="G123" s="42"/>
      <c r="H123" s="42" t="s">
        <v>1037</v>
      </c>
    </row>
    <row r="124" spans="2:8" ht="52.5" thickBot="1">
      <c r="B124" s="42" t="s">
        <v>595</v>
      </c>
      <c r="C124" s="42"/>
      <c r="D124" s="42" t="s">
        <v>589</v>
      </c>
      <c r="E124" s="42" t="s">
        <v>805</v>
      </c>
      <c r="F124" s="42" t="s">
        <v>1038</v>
      </c>
      <c r="G124" s="42" t="s">
        <v>1039</v>
      </c>
      <c r="H124" s="42"/>
    </row>
    <row r="125" spans="2:8" ht="78" thickBot="1">
      <c r="B125" s="42" t="s">
        <v>865</v>
      </c>
      <c r="C125" s="42" t="s">
        <v>1234</v>
      </c>
      <c r="D125" s="42" t="s">
        <v>589</v>
      </c>
      <c r="E125" s="42" t="s">
        <v>1235</v>
      </c>
      <c r="F125" s="42"/>
      <c r="G125" s="42"/>
      <c r="H125" s="42"/>
    </row>
    <row r="126" spans="2:8" ht="52.5" thickBot="1">
      <c r="B126" s="42" t="s">
        <v>594</v>
      </c>
      <c r="C126" s="42"/>
      <c r="D126" s="42" t="s">
        <v>588</v>
      </c>
      <c r="E126" s="42" t="s">
        <v>805</v>
      </c>
      <c r="F126" s="42" t="s">
        <v>1038</v>
      </c>
      <c r="G126" s="42" t="s">
        <v>1039</v>
      </c>
      <c r="H126" s="42"/>
    </row>
    <row r="127" spans="2:8" ht="78" thickBot="1">
      <c r="B127" s="42" t="s">
        <v>864</v>
      </c>
      <c r="C127" s="42" t="s">
        <v>1040</v>
      </c>
      <c r="D127" s="42" t="s">
        <v>588</v>
      </c>
      <c r="E127" s="42" t="s">
        <v>1235</v>
      </c>
      <c r="F127" s="42"/>
      <c r="G127" s="42"/>
      <c r="H127" s="42"/>
    </row>
    <row r="128" spans="2:8" ht="52.5" thickBot="1">
      <c r="B128" s="42" t="s">
        <v>602</v>
      </c>
      <c r="C128" s="42"/>
      <c r="D128" s="42" t="s">
        <v>670</v>
      </c>
      <c r="E128" s="42" t="s">
        <v>805</v>
      </c>
      <c r="F128" s="42" t="s">
        <v>1041</v>
      </c>
      <c r="G128" s="42" t="s">
        <v>953</v>
      </c>
      <c r="H128" s="42" t="s">
        <v>954</v>
      </c>
    </row>
    <row r="129" spans="2:8" ht="103.5" thickBot="1">
      <c r="B129" s="42" t="s">
        <v>860</v>
      </c>
      <c r="C129" s="42" t="s">
        <v>1236</v>
      </c>
      <c r="D129" s="42" t="s">
        <v>670</v>
      </c>
      <c r="E129" s="42" t="s">
        <v>867</v>
      </c>
      <c r="F129" s="42" t="s">
        <v>1041</v>
      </c>
      <c r="G129" s="42"/>
      <c r="H129" s="42" t="s">
        <v>1042</v>
      </c>
    </row>
    <row r="130" spans="2:8" ht="52.5" thickBot="1">
      <c r="B130" s="42" t="s">
        <v>592</v>
      </c>
      <c r="C130" s="42"/>
      <c r="D130" s="42" t="s">
        <v>586</v>
      </c>
      <c r="E130" s="42" t="s">
        <v>805</v>
      </c>
      <c r="F130" s="42" t="s">
        <v>1041</v>
      </c>
      <c r="G130" s="42"/>
      <c r="H130" s="42"/>
    </row>
    <row r="131" spans="2:8" ht="78" thickBot="1">
      <c r="B131" s="42" t="s">
        <v>931</v>
      </c>
      <c r="C131" s="42" t="s">
        <v>1237</v>
      </c>
      <c r="D131" s="42" t="s">
        <v>586</v>
      </c>
      <c r="E131" s="42" t="s">
        <v>1043</v>
      </c>
      <c r="F131" s="42"/>
      <c r="G131" s="42"/>
      <c r="H131" s="42"/>
    </row>
    <row r="132" spans="2:8" ht="27" thickBot="1">
      <c r="B132" s="42" t="s">
        <v>354</v>
      </c>
      <c r="C132" s="42"/>
      <c r="D132" s="42" t="s">
        <v>104</v>
      </c>
      <c r="E132" s="42" t="s">
        <v>793</v>
      </c>
      <c r="F132" s="42" t="s">
        <v>1044</v>
      </c>
      <c r="G132" s="42" t="s">
        <v>1045</v>
      </c>
      <c r="H132" s="42" t="s">
        <v>1046</v>
      </c>
    </row>
    <row r="133" spans="2:8" ht="52.5" thickBot="1">
      <c r="B133" s="42" t="s">
        <v>355</v>
      </c>
      <c r="C133" s="42"/>
      <c r="D133" s="42" t="s">
        <v>654</v>
      </c>
      <c r="E133" s="42" t="s">
        <v>733</v>
      </c>
      <c r="F133" s="42" t="s">
        <v>1012</v>
      </c>
      <c r="G133" s="42" t="s">
        <v>1047</v>
      </c>
      <c r="H133" s="42"/>
    </row>
    <row r="134" spans="2:8" ht="52.5" thickBot="1">
      <c r="B134" s="42" t="s">
        <v>356</v>
      </c>
      <c r="C134" s="42"/>
      <c r="D134" s="42" t="s">
        <v>655</v>
      </c>
      <c r="E134" s="42" t="s">
        <v>733</v>
      </c>
      <c r="F134" s="42" t="s">
        <v>1048</v>
      </c>
      <c r="G134" s="42" t="s">
        <v>953</v>
      </c>
      <c r="H134" s="42" t="s">
        <v>954</v>
      </c>
    </row>
    <row r="135" spans="2:8" ht="52.5" thickBot="1">
      <c r="B135" s="42" t="s">
        <v>357</v>
      </c>
      <c r="C135" s="42"/>
      <c r="D135" s="42" t="s">
        <v>794</v>
      </c>
      <c r="E135" s="42" t="s">
        <v>733</v>
      </c>
      <c r="F135" s="42" t="s">
        <v>1012</v>
      </c>
      <c r="G135" s="42" t="s">
        <v>953</v>
      </c>
      <c r="H135" s="42" t="s">
        <v>1013</v>
      </c>
    </row>
    <row r="136" spans="2:8" ht="52.5" thickBot="1">
      <c r="B136" s="42" t="s">
        <v>358</v>
      </c>
      <c r="C136" s="42"/>
      <c r="D136" s="42" t="s">
        <v>656</v>
      </c>
      <c r="E136" s="42" t="s">
        <v>733</v>
      </c>
      <c r="F136" s="42" t="s">
        <v>1012</v>
      </c>
      <c r="G136" s="42"/>
      <c r="H136" s="42" t="s">
        <v>1010</v>
      </c>
    </row>
    <row r="137" spans="2:8" ht="52.5" thickBot="1">
      <c r="B137" s="42" t="s">
        <v>359</v>
      </c>
      <c r="C137" s="42"/>
      <c r="D137" s="42" t="s">
        <v>795</v>
      </c>
      <c r="E137" s="42" t="s">
        <v>733</v>
      </c>
      <c r="F137" s="42" t="s">
        <v>1012</v>
      </c>
      <c r="G137" s="42"/>
      <c r="H137" s="42" t="s">
        <v>1049</v>
      </c>
    </row>
    <row r="138" spans="2:8" ht="52.5" thickBot="1">
      <c r="B138" s="42" t="s">
        <v>360</v>
      </c>
      <c r="C138" s="42"/>
      <c r="D138" s="42" t="s">
        <v>105</v>
      </c>
      <c r="E138" s="42" t="s">
        <v>733</v>
      </c>
      <c r="F138" s="42" t="s">
        <v>1012</v>
      </c>
      <c r="G138" s="42" t="s">
        <v>793</v>
      </c>
      <c r="H138" s="42"/>
    </row>
    <row r="139" spans="2:8" ht="52.5" thickBot="1">
      <c r="B139" s="42" t="s">
        <v>361</v>
      </c>
      <c r="C139" s="42"/>
      <c r="D139" s="42" t="s">
        <v>796</v>
      </c>
      <c r="E139" s="42" t="s">
        <v>733</v>
      </c>
      <c r="F139" s="42" t="s">
        <v>1012</v>
      </c>
      <c r="G139" s="42" t="s">
        <v>953</v>
      </c>
      <c r="H139" s="42" t="s">
        <v>954</v>
      </c>
    </row>
    <row r="140" spans="2:8" ht="52.5" thickBot="1">
      <c r="B140" s="42" t="s">
        <v>362</v>
      </c>
      <c r="C140" s="42"/>
      <c r="D140" s="42" t="s">
        <v>797</v>
      </c>
      <c r="E140" s="42" t="s">
        <v>733</v>
      </c>
      <c r="F140" s="42" t="s">
        <v>1294</v>
      </c>
      <c r="G140" s="42" t="s">
        <v>1295</v>
      </c>
      <c r="H140" s="42"/>
    </row>
    <row r="141" spans="2:8" ht="52.5" thickBot="1">
      <c r="B141" s="42" t="s">
        <v>363</v>
      </c>
      <c r="C141" s="42"/>
      <c r="D141" s="42" t="s">
        <v>106</v>
      </c>
      <c r="E141" s="42" t="s">
        <v>733</v>
      </c>
      <c r="F141" s="42" t="s">
        <v>1012</v>
      </c>
      <c r="G141" s="42" t="s">
        <v>953</v>
      </c>
      <c r="H141" s="42" t="s">
        <v>954</v>
      </c>
    </row>
    <row r="142" spans="2:8" ht="52.5" thickBot="1">
      <c r="B142" s="42" t="s">
        <v>376</v>
      </c>
      <c r="C142" s="42" t="s">
        <v>26</v>
      </c>
      <c r="D142" s="42" t="s">
        <v>661</v>
      </c>
      <c r="E142" s="42" t="s">
        <v>732</v>
      </c>
      <c r="F142" s="42" t="s">
        <v>1036</v>
      </c>
      <c r="G142" s="42" t="s">
        <v>1050</v>
      </c>
      <c r="H142" s="42"/>
    </row>
    <row r="143" spans="2:8" ht="52.5" thickBot="1">
      <c r="B143" s="42" t="s">
        <v>379</v>
      </c>
      <c r="C143" s="42"/>
      <c r="D143" s="42" t="s">
        <v>123</v>
      </c>
      <c r="E143" s="42" t="s">
        <v>732</v>
      </c>
      <c r="F143" s="42"/>
      <c r="G143" s="42" t="s">
        <v>953</v>
      </c>
      <c r="H143" s="42" t="s">
        <v>954</v>
      </c>
    </row>
    <row r="144" spans="2:8" ht="103.5" thickBot="1">
      <c r="B144" s="42" t="s">
        <v>737</v>
      </c>
      <c r="C144" s="42" t="s">
        <v>1055</v>
      </c>
      <c r="D144" s="42" t="s">
        <v>123</v>
      </c>
      <c r="E144" s="42" t="s">
        <v>728</v>
      </c>
      <c r="F144" s="42"/>
      <c r="G144" s="42"/>
      <c r="H144" s="42" t="s">
        <v>1056</v>
      </c>
    </row>
    <row r="145" spans="2:8" ht="52.5" thickBot="1">
      <c r="B145" s="42" t="s">
        <v>380</v>
      </c>
      <c r="C145" s="42"/>
      <c r="D145" s="42" t="s">
        <v>663</v>
      </c>
      <c r="E145" s="42" t="s">
        <v>732</v>
      </c>
      <c r="F145" s="42"/>
      <c r="G145" s="42" t="s">
        <v>953</v>
      </c>
      <c r="H145" s="42" t="s">
        <v>954</v>
      </c>
    </row>
    <row r="146" spans="2:8" ht="103.5" thickBot="1">
      <c r="B146" s="42" t="s">
        <v>738</v>
      </c>
      <c r="C146" s="42" t="s">
        <v>1057</v>
      </c>
      <c r="D146" s="42" t="s">
        <v>663</v>
      </c>
      <c r="E146" s="42" t="s">
        <v>728</v>
      </c>
      <c r="F146" s="42"/>
      <c r="G146" s="42"/>
      <c r="H146" s="42" t="s">
        <v>1058</v>
      </c>
    </row>
    <row r="147" spans="2:8" ht="52.5" thickBot="1">
      <c r="B147" s="42" t="s">
        <v>381</v>
      </c>
      <c r="C147" s="42"/>
      <c r="D147" s="42" t="s">
        <v>121</v>
      </c>
      <c r="E147" s="42" t="s">
        <v>732</v>
      </c>
      <c r="F147" s="42" t="s">
        <v>1051</v>
      </c>
      <c r="G147" s="42" t="s">
        <v>953</v>
      </c>
      <c r="H147" s="42" t="s">
        <v>1013</v>
      </c>
    </row>
    <row r="148" spans="2:8" ht="103.5" thickBot="1">
      <c r="B148" s="42" t="s">
        <v>739</v>
      </c>
      <c r="C148" s="42" t="s">
        <v>1059</v>
      </c>
      <c r="D148" s="42" t="s">
        <v>121</v>
      </c>
      <c r="E148" s="42" t="s">
        <v>728</v>
      </c>
      <c r="F148" s="42" t="s">
        <v>1051</v>
      </c>
      <c r="G148" s="42"/>
      <c r="H148" s="42" t="s">
        <v>1060</v>
      </c>
    </row>
    <row r="149" spans="2:8" ht="52.5" thickBot="1">
      <c r="B149" s="42" t="s">
        <v>382</v>
      </c>
      <c r="C149" s="42"/>
      <c r="D149" s="42" t="s">
        <v>664</v>
      </c>
      <c r="E149" s="42" t="s">
        <v>732</v>
      </c>
      <c r="F149" s="42" t="s">
        <v>1051</v>
      </c>
      <c r="G149" s="42" t="s">
        <v>953</v>
      </c>
      <c r="H149" s="42" t="s">
        <v>954</v>
      </c>
    </row>
    <row r="150" spans="2:8" ht="103.5" thickBot="1">
      <c r="B150" s="42" t="s">
        <v>884</v>
      </c>
      <c r="C150" s="42" t="s">
        <v>1061</v>
      </c>
      <c r="D150" s="42" t="s">
        <v>664</v>
      </c>
      <c r="E150" s="42" t="s">
        <v>728</v>
      </c>
      <c r="F150" s="42" t="s">
        <v>1051</v>
      </c>
      <c r="G150" s="42"/>
      <c r="H150" s="42" t="s">
        <v>1062</v>
      </c>
    </row>
    <row r="151" spans="2:8" ht="52.5" thickBot="1">
      <c r="B151" s="42" t="s">
        <v>383</v>
      </c>
      <c r="C151" s="42"/>
      <c r="D151" s="42" t="s">
        <v>122</v>
      </c>
      <c r="E151" s="42" t="s">
        <v>732</v>
      </c>
      <c r="F151" s="42" t="s">
        <v>1051</v>
      </c>
      <c r="G151" s="42" t="s">
        <v>953</v>
      </c>
      <c r="H151" s="42" t="s">
        <v>1013</v>
      </c>
    </row>
    <row r="152" spans="2:8" ht="103.5" thickBot="1">
      <c r="B152" s="42" t="s">
        <v>885</v>
      </c>
      <c r="C152" s="42" t="s">
        <v>1063</v>
      </c>
      <c r="D152" s="42" t="s">
        <v>122</v>
      </c>
      <c r="E152" s="42" t="s">
        <v>728</v>
      </c>
      <c r="F152" s="42" t="s">
        <v>1051</v>
      </c>
      <c r="G152" s="42"/>
      <c r="H152" s="42" t="s">
        <v>1064</v>
      </c>
    </row>
    <row r="153" spans="2:8" ht="52.5" thickBot="1">
      <c r="B153" s="42" t="s">
        <v>384</v>
      </c>
      <c r="C153" s="42"/>
      <c r="D153" s="42" t="s">
        <v>665</v>
      </c>
      <c r="E153" s="42" t="s">
        <v>732</v>
      </c>
      <c r="F153" s="42" t="s">
        <v>1051</v>
      </c>
      <c r="G153" s="42" t="s">
        <v>953</v>
      </c>
      <c r="H153" s="42" t="s">
        <v>954</v>
      </c>
    </row>
    <row r="154" spans="2:8" ht="103.5" thickBot="1">
      <c r="B154" s="42" t="s">
        <v>886</v>
      </c>
      <c r="C154" s="42" t="s">
        <v>1065</v>
      </c>
      <c r="D154" s="42" t="s">
        <v>665</v>
      </c>
      <c r="E154" s="42" t="s">
        <v>728</v>
      </c>
      <c r="F154" s="42" t="s">
        <v>1296</v>
      </c>
      <c r="G154" s="42"/>
      <c r="H154" s="42" t="s">
        <v>1297</v>
      </c>
    </row>
    <row r="155" spans="2:8" ht="52.5" thickBot="1">
      <c r="B155" s="42" t="s">
        <v>385</v>
      </c>
      <c r="C155" s="42" t="s">
        <v>27</v>
      </c>
      <c r="D155" s="42" t="s">
        <v>666</v>
      </c>
      <c r="E155" s="42" t="s">
        <v>732</v>
      </c>
      <c r="F155" s="42" t="s">
        <v>1051</v>
      </c>
      <c r="G155" s="42" t="s">
        <v>953</v>
      </c>
      <c r="H155" s="42" t="s">
        <v>954</v>
      </c>
    </row>
    <row r="156" spans="2:8" ht="103.5" thickBot="1">
      <c r="B156" s="42" t="s">
        <v>887</v>
      </c>
      <c r="C156" s="42" t="s">
        <v>1238</v>
      </c>
      <c r="D156" s="42" t="s">
        <v>666</v>
      </c>
      <c r="E156" s="42" t="s">
        <v>728</v>
      </c>
      <c r="F156" s="42" t="s">
        <v>1051</v>
      </c>
      <c r="G156" s="42"/>
      <c r="H156" s="42" t="s">
        <v>1062</v>
      </c>
    </row>
    <row r="157" spans="2:8" ht="103.5" thickBot="1">
      <c r="B157" s="42" t="s">
        <v>1240</v>
      </c>
      <c r="C157" s="43" t="s">
        <v>1264</v>
      </c>
      <c r="D157" s="42" t="s">
        <v>859</v>
      </c>
      <c r="E157" s="42" t="s">
        <v>728</v>
      </c>
      <c r="F157" s="42" t="s">
        <v>1050</v>
      </c>
      <c r="G157" s="42"/>
      <c r="H157" s="42" t="s">
        <v>1066</v>
      </c>
    </row>
    <row r="158" spans="2:8" ht="52.5" thickBot="1">
      <c r="B158" s="42" t="s">
        <v>386</v>
      </c>
      <c r="C158" s="42" t="s">
        <v>28</v>
      </c>
      <c r="D158" s="42" t="s">
        <v>124</v>
      </c>
      <c r="E158" s="42" t="s">
        <v>913</v>
      </c>
      <c r="F158" s="42" t="s">
        <v>736</v>
      </c>
      <c r="G158" s="42" t="s">
        <v>953</v>
      </c>
      <c r="H158" s="42" t="s">
        <v>954</v>
      </c>
    </row>
    <row r="159" spans="2:8" ht="103.5" thickBot="1">
      <c r="B159" s="42" t="s">
        <v>911</v>
      </c>
      <c r="C159" s="43" t="s">
        <v>1265</v>
      </c>
      <c r="D159" s="42" t="s">
        <v>124</v>
      </c>
      <c r="E159" s="42" t="s">
        <v>974</v>
      </c>
      <c r="F159" s="42"/>
      <c r="G159" s="42"/>
      <c r="H159" s="42" t="s">
        <v>1067</v>
      </c>
    </row>
    <row r="160" spans="2:8" ht="45.75" thickBot="1">
      <c r="B160" s="42" t="s">
        <v>387</v>
      </c>
      <c r="C160" s="43" t="s">
        <v>30</v>
      </c>
      <c r="D160" s="42" t="s">
        <v>1272</v>
      </c>
      <c r="E160" s="42" t="s">
        <v>735</v>
      </c>
      <c r="F160" s="42"/>
      <c r="G160" s="42" t="s">
        <v>953</v>
      </c>
      <c r="H160" s="42" t="s">
        <v>954</v>
      </c>
    </row>
    <row r="161" spans="2:8" ht="52.5" thickBot="1">
      <c r="B161" s="42" t="s">
        <v>388</v>
      </c>
      <c r="C161" s="42" t="s">
        <v>1273</v>
      </c>
      <c r="D161" s="42" t="s">
        <v>801</v>
      </c>
      <c r="E161" s="42" t="s">
        <v>742</v>
      </c>
      <c r="F161" s="42"/>
      <c r="G161" s="42" t="s">
        <v>953</v>
      </c>
      <c r="H161" s="42" t="s">
        <v>954</v>
      </c>
    </row>
    <row r="162" spans="2:8" ht="52.5" thickBot="1">
      <c r="B162" s="42" t="s">
        <v>389</v>
      </c>
      <c r="C162" s="43"/>
      <c r="D162" s="42" t="s">
        <v>667</v>
      </c>
      <c r="E162" s="42" t="s">
        <v>732</v>
      </c>
      <c r="F162" s="42" t="s">
        <v>1052</v>
      </c>
      <c r="G162" s="42"/>
      <c r="H162" s="42"/>
    </row>
    <row r="163" spans="2:8" ht="52.5" thickBot="1">
      <c r="B163" s="42" t="s">
        <v>390</v>
      </c>
      <c r="C163" s="43" t="s">
        <v>31</v>
      </c>
      <c r="D163" s="42" t="s">
        <v>802</v>
      </c>
      <c r="E163" s="42" t="s">
        <v>803</v>
      </c>
      <c r="F163" s="42" t="s">
        <v>1053</v>
      </c>
      <c r="G163" s="42"/>
      <c r="H163" s="42"/>
    </row>
    <row r="164" spans="2:8" ht="52.5" thickBot="1">
      <c r="B164" s="42" t="s">
        <v>391</v>
      </c>
      <c r="C164" s="42"/>
      <c r="D164" s="42" t="s">
        <v>668</v>
      </c>
      <c r="E164" s="42" t="s">
        <v>732</v>
      </c>
      <c r="F164" s="42" t="s">
        <v>1053</v>
      </c>
      <c r="G164" s="42" t="s">
        <v>953</v>
      </c>
      <c r="H164" s="42" t="s">
        <v>954</v>
      </c>
    </row>
    <row r="165" spans="2:8" ht="52.5" thickBot="1">
      <c r="B165" s="42" t="s">
        <v>392</v>
      </c>
      <c r="C165" s="43" t="s">
        <v>32</v>
      </c>
      <c r="D165" s="42" t="s">
        <v>128</v>
      </c>
      <c r="E165" s="42" t="s">
        <v>732</v>
      </c>
      <c r="F165" s="42" t="s">
        <v>1053</v>
      </c>
      <c r="G165" s="42" t="s">
        <v>953</v>
      </c>
      <c r="H165" s="42" t="s">
        <v>954</v>
      </c>
    </row>
    <row r="166" spans="2:8" ht="52.5" thickBot="1">
      <c r="B166" s="42" t="s">
        <v>393</v>
      </c>
      <c r="C166" s="42" t="s">
        <v>33</v>
      </c>
      <c r="D166" s="42" t="s">
        <v>129</v>
      </c>
      <c r="E166" s="42" t="s">
        <v>742</v>
      </c>
      <c r="F166" s="42" t="s">
        <v>1053</v>
      </c>
      <c r="G166" s="42"/>
      <c r="H166" s="42"/>
    </row>
    <row r="167" spans="2:8" ht="52.5" thickBot="1">
      <c r="B167" s="42" t="s">
        <v>394</v>
      </c>
      <c r="C167" s="42" t="s">
        <v>34</v>
      </c>
      <c r="D167" s="42" t="s">
        <v>130</v>
      </c>
      <c r="E167" s="42" t="s">
        <v>742</v>
      </c>
      <c r="F167" s="42" t="s">
        <v>1053</v>
      </c>
      <c r="G167" s="42"/>
      <c r="H167" s="42"/>
    </row>
    <row r="168" spans="2:8" ht="103.5" thickBot="1">
      <c r="B168" s="42" t="s">
        <v>740</v>
      </c>
      <c r="C168" s="42" t="s">
        <v>1248</v>
      </c>
      <c r="D168" s="42" t="s">
        <v>1068</v>
      </c>
      <c r="E168" s="42" t="s">
        <v>728</v>
      </c>
      <c r="F168" s="42" t="s">
        <v>1069</v>
      </c>
      <c r="G168" s="42"/>
      <c r="H168" s="42" t="s">
        <v>1070</v>
      </c>
    </row>
    <row r="169" spans="2:8" ht="52.5" thickBot="1">
      <c r="B169" s="42" t="s">
        <v>395</v>
      </c>
      <c r="C169" s="43" t="s">
        <v>36</v>
      </c>
      <c r="D169" s="42" t="s">
        <v>131</v>
      </c>
      <c r="E169" s="42" t="s">
        <v>742</v>
      </c>
      <c r="F169" s="42"/>
      <c r="G169" s="42"/>
      <c r="H169" s="42"/>
    </row>
    <row r="170" spans="2:8" ht="52.5" thickBot="1">
      <c r="B170" s="42" t="s">
        <v>591</v>
      </c>
      <c r="C170" s="42"/>
      <c r="D170" s="42" t="s">
        <v>590</v>
      </c>
      <c r="E170" s="42" t="s">
        <v>805</v>
      </c>
      <c r="F170" s="42" t="s">
        <v>1041</v>
      </c>
      <c r="G170" s="42"/>
      <c r="H170" s="42"/>
    </row>
    <row r="171" spans="2:8" ht="78" thickBot="1">
      <c r="B171" s="42" t="s">
        <v>866</v>
      </c>
      <c r="C171" s="42" t="s">
        <v>1239</v>
      </c>
      <c r="D171" s="42" t="s">
        <v>590</v>
      </c>
      <c r="E171" s="42" t="s">
        <v>1043</v>
      </c>
      <c r="F171" s="42"/>
      <c r="G171" s="42"/>
      <c r="H171" s="42"/>
    </row>
    <row r="172" spans="2:8" ht="52.5" thickBot="1">
      <c r="B172" s="42" t="s">
        <v>396</v>
      </c>
      <c r="C172" s="42"/>
      <c r="D172" s="42" t="s">
        <v>132</v>
      </c>
      <c r="E172" s="42" t="s">
        <v>732</v>
      </c>
      <c r="F172" s="42" t="s">
        <v>1298</v>
      </c>
      <c r="G172" s="42" t="s">
        <v>1299</v>
      </c>
      <c r="H172" s="42" t="s">
        <v>1300</v>
      </c>
    </row>
    <row r="173" spans="2:8" ht="52.5" thickBot="1">
      <c r="B173" s="42" t="s">
        <v>583</v>
      </c>
      <c r="C173" s="42"/>
      <c r="D173" s="42" t="s">
        <v>904</v>
      </c>
      <c r="E173" s="42" t="s">
        <v>732</v>
      </c>
      <c r="F173" s="42" t="s">
        <v>1012</v>
      </c>
      <c r="G173" s="42"/>
      <c r="H173" s="42"/>
    </row>
    <row r="174" spans="2:8" ht="52.5" thickBot="1">
      <c r="B174" s="42" t="s">
        <v>397</v>
      </c>
      <c r="C174" s="42"/>
      <c r="D174" s="42" t="s">
        <v>133</v>
      </c>
      <c r="E174" s="42" t="s">
        <v>732</v>
      </c>
      <c r="F174" s="42" t="s">
        <v>1012</v>
      </c>
      <c r="G174" s="42"/>
      <c r="H174" s="42"/>
    </row>
    <row r="175" spans="2:8" ht="52.5" thickBot="1">
      <c r="B175" s="42" t="s">
        <v>597</v>
      </c>
      <c r="C175" s="42"/>
      <c r="D175" s="42" t="s">
        <v>672</v>
      </c>
      <c r="E175" s="42" t="s">
        <v>736</v>
      </c>
      <c r="F175" s="42" t="s">
        <v>1054</v>
      </c>
      <c r="G175" s="42"/>
      <c r="H175" s="42"/>
    </row>
    <row r="176" spans="2:8" ht="27" thickBot="1">
      <c r="B176" s="42" t="s">
        <v>399</v>
      </c>
      <c r="C176" s="42" t="s">
        <v>38</v>
      </c>
      <c r="D176" s="42" t="s">
        <v>135</v>
      </c>
      <c r="E176" s="42" t="s">
        <v>735</v>
      </c>
      <c r="F176" s="42"/>
      <c r="G176" s="42"/>
      <c r="H176" s="42"/>
    </row>
    <row r="177" spans="2:8" ht="52.5" thickBot="1">
      <c r="B177" s="42" t="s">
        <v>401</v>
      </c>
      <c r="C177" s="42" t="s">
        <v>41</v>
      </c>
      <c r="D177" s="42" t="s">
        <v>127</v>
      </c>
      <c r="E177" s="42" t="s">
        <v>732</v>
      </c>
      <c r="F177" s="42"/>
      <c r="G177" s="42" t="s">
        <v>953</v>
      </c>
      <c r="H177" s="42" t="s">
        <v>954</v>
      </c>
    </row>
    <row r="178" spans="2:8" ht="52.5" thickBot="1">
      <c r="B178" s="42" t="s">
        <v>402</v>
      </c>
      <c r="C178" s="43" t="s">
        <v>42</v>
      </c>
      <c r="D178" s="42" t="s">
        <v>137</v>
      </c>
      <c r="E178" s="42" t="s">
        <v>732</v>
      </c>
      <c r="F178" s="42"/>
      <c r="G178" s="42" t="s">
        <v>1025</v>
      </c>
      <c r="H178" s="42"/>
    </row>
    <row r="179" spans="2:8" ht="78" thickBot="1">
      <c r="B179" s="42" t="s">
        <v>839</v>
      </c>
      <c r="C179" s="42" t="s">
        <v>1071</v>
      </c>
      <c r="D179" s="42" t="s">
        <v>137</v>
      </c>
      <c r="E179" s="42" t="s">
        <v>1072</v>
      </c>
      <c r="F179" s="42"/>
      <c r="G179" s="42"/>
      <c r="H179" s="42"/>
    </row>
    <row r="180" spans="2:8" ht="103.5" thickBot="1">
      <c r="B180" s="42" t="s">
        <v>1229</v>
      </c>
      <c r="C180" s="43" t="s">
        <v>1247</v>
      </c>
      <c r="D180" s="42" t="s">
        <v>1230</v>
      </c>
      <c r="E180" s="42" t="s">
        <v>728</v>
      </c>
      <c r="F180" s="42" t="s">
        <v>1069</v>
      </c>
      <c r="G180" s="42"/>
      <c r="H180" s="42" t="s">
        <v>1070</v>
      </c>
    </row>
    <row r="181" spans="2:8" ht="78" thickBot="1">
      <c r="B181" s="42" t="s">
        <v>1241</v>
      </c>
      <c r="C181" s="43" t="s">
        <v>1266</v>
      </c>
      <c r="D181" s="42" t="s">
        <v>1242</v>
      </c>
      <c r="E181" s="42" t="s">
        <v>1249</v>
      </c>
      <c r="F181" s="42"/>
      <c r="G181" s="42"/>
      <c r="H181" s="42"/>
    </row>
    <row r="182" spans="2:8" ht="52.5" thickBot="1">
      <c r="B182" s="42" t="s">
        <v>430</v>
      </c>
      <c r="C182" s="42" t="s">
        <v>1274</v>
      </c>
      <c r="D182" s="42" t="s">
        <v>680</v>
      </c>
      <c r="E182" s="42" t="s">
        <v>742</v>
      </c>
      <c r="F182" s="42" t="s">
        <v>956</v>
      </c>
      <c r="G182" s="42" t="s">
        <v>1073</v>
      </c>
      <c r="H182" s="42"/>
    </row>
    <row r="183" spans="2:8" ht="90.75" thickBot="1">
      <c r="B183" s="42" t="s">
        <v>723</v>
      </c>
      <c r="C183" s="43" t="s">
        <v>1074</v>
      </c>
      <c r="D183" s="42" t="s">
        <v>680</v>
      </c>
      <c r="E183" s="42" t="s">
        <v>1075</v>
      </c>
      <c r="F183" s="42"/>
      <c r="G183" s="42"/>
      <c r="H183" s="42"/>
    </row>
    <row r="184" spans="2:8" ht="52.5" thickBot="1">
      <c r="B184" s="42" t="s">
        <v>425</v>
      </c>
      <c r="C184" s="42" t="s">
        <v>24</v>
      </c>
      <c r="D184" s="42" t="s">
        <v>678</v>
      </c>
      <c r="E184" s="42" t="s">
        <v>742</v>
      </c>
      <c r="F184" s="42" t="s">
        <v>1036</v>
      </c>
      <c r="G184" s="42" t="s">
        <v>1076</v>
      </c>
      <c r="H184" s="42" t="s">
        <v>1077</v>
      </c>
    </row>
    <row r="185" spans="2:8" ht="52.5" thickBot="1">
      <c r="B185" s="42" t="s">
        <v>426</v>
      </c>
      <c r="C185" s="43" t="s">
        <v>1275</v>
      </c>
      <c r="D185" s="42" t="s">
        <v>76</v>
      </c>
      <c r="E185" s="42" t="s">
        <v>732</v>
      </c>
      <c r="F185" s="42" t="s">
        <v>952</v>
      </c>
      <c r="G185" s="42" t="s">
        <v>953</v>
      </c>
      <c r="H185" s="42" t="s">
        <v>954</v>
      </c>
    </row>
    <row r="186" spans="2:8" ht="103.5" thickBot="1">
      <c r="B186" s="42" t="s">
        <v>720</v>
      </c>
      <c r="C186" s="42" t="s">
        <v>1078</v>
      </c>
      <c r="D186" s="42" t="s">
        <v>76</v>
      </c>
      <c r="E186" s="42" t="s">
        <v>728</v>
      </c>
      <c r="F186" s="42" t="s">
        <v>1079</v>
      </c>
      <c r="G186" s="42"/>
      <c r="H186" s="42" t="s">
        <v>1080</v>
      </c>
    </row>
    <row r="187" spans="2:8" ht="52.5" thickBot="1">
      <c r="B187" s="42" t="s">
        <v>427</v>
      </c>
      <c r="C187" s="43" t="s">
        <v>1276</v>
      </c>
      <c r="D187" s="42" t="s">
        <v>679</v>
      </c>
      <c r="E187" s="42" t="s">
        <v>742</v>
      </c>
      <c r="F187" s="42" t="s">
        <v>1289</v>
      </c>
      <c r="G187" s="42" t="s">
        <v>1301</v>
      </c>
      <c r="H187" s="42" t="s">
        <v>1302</v>
      </c>
    </row>
    <row r="188" spans="2:8" ht="52.5" thickBot="1">
      <c r="B188" s="42" t="s">
        <v>423</v>
      </c>
      <c r="C188" s="43" t="s">
        <v>14</v>
      </c>
      <c r="D188" s="42" t="s">
        <v>74</v>
      </c>
      <c r="E188" s="42" t="s">
        <v>732</v>
      </c>
      <c r="F188" s="42" t="s">
        <v>956</v>
      </c>
      <c r="G188" s="42" t="s">
        <v>953</v>
      </c>
      <c r="H188" s="42" t="s">
        <v>954</v>
      </c>
    </row>
    <row r="189" spans="2:8" ht="103.5" thickBot="1">
      <c r="B189" s="42" t="s">
        <v>718</v>
      </c>
      <c r="C189" s="43" t="s">
        <v>1081</v>
      </c>
      <c r="D189" s="42" t="s">
        <v>704</v>
      </c>
      <c r="E189" s="42" t="s">
        <v>728</v>
      </c>
      <c r="F189" s="42" t="s">
        <v>956</v>
      </c>
      <c r="G189" s="42"/>
      <c r="H189" s="42" t="s">
        <v>1082</v>
      </c>
    </row>
    <row r="190" spans="2:8" ht="52.5" thickBot="1">
      <c r="B190" s="42" t="s">
        <v>422</v>
      </c>
      <c r="C190" s="43" t="s">
        <v>8</v>
      </c>
      <c r="D190" s="42" t="s">
        <v>73</v>
      </c>
      <c r="E190" s="42" t="s">
        <v>742</v>
      </c>
      <c r="F190" s="42" t="s">
        <v>956</v>
      </c>
      <c r="G190" s="42"/>
      <c r="H190" s="42"/>
    </row>
    <row r="191" spans="2:8" ht="78" thickBot="1">
      <c r="B191" s="42" t="s">
        <v>717</v>
      </c>
      <c r="C191" s="42" t="s">
        <v>1083</v>
      </c>
      <c r="D191" s="42" t="s">
        <v>703</v>
      </c>
      <c r="E191" s="42" t="s">
        <v>1084</v>
      </c>
      <c r="F191" s="42"/>
      <c r="G191" s="42"/>
      <c r="H191" s="42"/>
    </row>
    <row r="192" spans="2:8" ht="52.5" thickBot="1">
      <c r="B192" s="42" t="s">
        <v>421</v>
      </c>
      <c r="C192" s="42" t="s">
        <v>4</v>
      </c>
      <c r="D192" s="42" t="s">
        <v>71</v>
      </c>
      <c r="E192" s="42" t="s">
        <v>732</v>
      </c>
      <c r="F192" s="42" t="s">
        <v>1303</v>
      </c>
      <c r="G192" s="42" t="s">
        <v>1304</v>
      </c>
      <c r="H192" s="42" t="s">
        <v>1305</v>
      </c>
    </row>
    <row r="193" spans="2:8" ht="90.75" thickBot="1">
      <c r="B193" s="42" t="s">
        <v>716</v>
      </c>
      <c r="C193" s="42" t="s">
        <v>1085</v>
      </c>
      <c r="D193" s="42" t="s">
        <v>705</v>
      </c>
      <c r="E193" s="42" t="s">
        <v>1086</v>
      </c>
      <c r="F193" s="42"/>
      <c r="G193" s="42"/>
      <c r="H193" s="42"/>
    </row>
    <row r="194" spans="2:8" ht="52.5" thickBot="1">
      <c r="B194" s="42" t="s">
        <v>1231</v>
      </c>
      <c r="C194" s="42"/>
      <c r="D194" s="42" t="s">
        <v>1230</v>
      </c>
      <c r="E194" s="42" t="s">
        <v>742</v>
      </c>
      <c r="F194" s="42" t="s">
        <v>1069</v>
      </c>
      <c r="G194" s="42" t="s">
        <v>1019</v>
      </c>
      <c r="H194" s="42" t="s">
        <v>1087</v>
      </c>
    </row>
    <row r="195" spans="2:8" ht="52.5" thickBot="1">
      <c r="B195" s="42" t="s">
        <v>481</v>
      </c>
      <c r="C195" s="42"/>
      <c r="D195" s="42" t="s">
        <v>609</v>
      </c>
      <c r="E195" s="42" t="s">
        <v>743</v>
      </c>
      <c r="F195" s="42" t="s">
        <v>1018</v>
      </c>
      <c r="G195" s="42" t="s">
        <v>1019</v>
      </c>
      <c r="H195" s="42" t="s">
        <v>1087</v>
      </c>
    </row>
    <row r="196" spans="2:8" ht="52.5" thickBot="1">
      <c r="B196" s="42" t="s">
        <v>482</v>
      </c>
      <c r="C196" s="42"/>
      <c r="D196" s="42" t="s">
        <v>610</v>
      </c>
      <c r="E196" s="42" t="s">
        <v>744</v>
      </c>
      <c r="F196" s="42"/>
      <c r="G196" s="42" t="s">
        <v>1301</v>
      </c>
      <c r="H196" s="42" t="s">
        <v>1306</v>
      </c>
    </row>
    <row r="197" spans="2:8" ht="52.5" thickBot="1">
      <c r="B197" s="42" t="s">
        <v>483</v>
      </c>
      <c r="C197" s="42"/>
      <c r="D197" s="42" t="s">
        <v>611</v>
      </c>
      <c r="E197" s="42" t="s">
        <v>745</v>
      </c>
      <c r="F197" s="42"/>
      <c r="G197" s="42" t="s">
        <v>1019</v>
      </c>
      <c r="H197" s="42" t="s">
        <v>1087</v>
      </c>
    </row>
    <row r="198" spans="2:8" ht="52.5" thickBot="1">
      <c r="B198" s="42" t="s">
        <v>484</v>
      </c>
      <c r="C198" s="42"/>
      <c r="D198" s="42" t="s">
        <v>612</v>
      </c>
      <c r="E198" s="42" t="s">
        <v>743</v>
      </c>
      <c r="F198" s="42" t="s">
        <v>1018</v>
      </c>
      <c r="G198" s="42" t="s">
        <v>1019</v>
      </c>
      <c r="H198" s="42" t="s">
        <v>1087</v>
      </c>
    </row>
    <row r="199" spans="2:8" ht="52.5" thickBot="1">
      <c r="B199" s="42" t="s">
        <v>485</v>
      </c>
      <c r="C199" s="42"/>
      <c r="D199" s="42" t="s">
        <v>613</v>
      </c>
      <c r="E199" s="42" t="s">
        <v>744</v>
      </c>
      <c r="F199" s="42"/>
      <c r="G199" s="42" t="s">
        <v>1019</v>
      </c>
      <c r="H199" s="42" t="s">
        <v>1087</v>
      </c>
    </row>
    <row r="200" spans="2:8" ht="52.5" thickBot="1">
      <c r="B200" s="42" t="s">
        <v>486</v>
      </c>
      <c r="C200" s="42"/>
      <c r="D200" s="42" t="s">
        <v>175</v>
      </c>
      <c r="E200" s="42" t="s">
        <v>732</v>
      </c>
      <c r="F200" s="42" t="s">
        <v>1014</v>
      </c>
      <c r="G200" s="42" t="s">
        <v>1019</v>
      </c>
      <c r="H200" s="42" t="s">
        <v>1087</v>
      </c>
    </row>
    <row r="201" spans="2:8" ht="52.5" thickBot="1">
      <c r="B201" s="42" t="s">
        <v>487</v>
      </c>
      <c r="C201" s="42"/>
      <c r="D201" s="42" t="s">
        <v>614</v>
      </c>
      <c r="E201" s="42" t="s">
        <v>745</v>
      </c>
      <c r="F201" s="42"/>
      <c r="G201" s="42" t="s">
        <v>1019</v>
      </c>
      <c r="H201" s="42" t="s">
        <v>1087</v>
      </c>
    </row>
    <row r="202" spans="2:8" ht="52.5" thickBot="1">
      <c r="B202" s="42" t="s">
        <v>488</v>
      </c>
      <c r="C202" s="42"/>
      <c r="D202" s="42" t="s">
        <v>1068</v>
      </c>
      <c r="E202" s="42" t="s">
        <v>742</v>
      </c>
      <c r="F202" s="42" t="s">
        <v>1069</v>
      </c>
      <c r="G202" s="42" t="s">
        <v>1019</v>
      </c>
      <c r="H202" s="42" t="s">
        <v>1087</v>
      </c>
    </row>
    <row r="203" spans="2:8" ht="52.5" thickBot="1">
      <c r="B203" s="42" t="s">
        <v>489</v>
      </c>
      <c r="C203" s="42"/>
      <c r="D203" s="42" t="s">
        <v>615</v>
      </c>
      <c r="E203" s="42" t="s">
        <v>742</v>
      </c>
      <c r="F203" s="42" t="s">
        <v>1088</v>
      </c>
      <c r="G203" s="42" t="s">
        <v>1019</v>
      </c>
      <c r="H203" s="42" t="s">
        <v>1087</v>
      </c>
    </row>
    <row r="204" spans="2:8" ht="27" thickBot="1">
      <c r="B204" s="42" t="s">
        <v>490</v>
      </c>
      <c r="C204" s="43"/>
      <c r="D204" s="42" t="s">
        <v>176</v>
      </c>
      <c r="E204" s="42" t="s">
        <v>746</v>
      </c>
      <c r="F204" s="42"/>
      <c r="G204" s="42"/>
      <c r="H204" s="42"/>
    </row>
    <row r="205" spans="2:8" ht="27" thickBot="1">
      <c r="B205" s="42" t="s">
        <v>491</v>
      </c>
      <c r="C205" s="43"/>
      <c r="D205" s="42" t="s">
        <v>178</v>
      </c>
      <c r="E205" s="42"/>
      <c r="F205" s="42"/>
      <c r="G205" s="42"/>
      <c r="H205" s="42"/>
    </row>
    <row r="206" spans="2:8" ht="27" thickBot="1">
      <c r="B206" s="42" t="s">
        <v>492</v>
      </c>
      <c r="C206" s="42"/>
      <c r="D206" s="42" t="s">
        <v>177</v>
      </c>
      <c r="E206" s="42" t="s">
        <v>747</v>
      </c>
      <c r="F206" s="42"/>
      <c r="G206" s="42"/>
      <c r="H206" s="42"/>
    </row>
    <row r="207" spans="2:8" ht="90.75" thickBot="1">
      <c r="B207" s="42" t="s">
        <v>942</v>
      </c>
      <c r="C207" s="43" t="s">
        <v>1094</v>
      </c>
      <c r="D207" s="42" t="s">
        <v>1095</v>
      </c>
      <c r="E207" s="42" t="s">
        <v>951</v>
      </c>
      <c r="F207" s="42" t="s">
        <v>1096</v>
      </c>
      <c r="G207" s="42" t="s">
        <v>1097</v>
      </c>
      <c r="H207" s="42" t="s">
        <v>1098</v>
      </c>
    </row>
    <row r="208" spans="2:8" ht="39.75" thickBot="1">
      <c r="B208" s="42" t="s">
        <v>493</v>
      </c>
      <c r="C208" s="42"/>
      <c r="D208" s="42" t="s">
        <v>179</v>
      </c>
      <c r="E208" s="42" t="s">
        <v>748</v>
      </c>
      <c r="F208" s="42"/>
      <c r="G208" s="42" t="s">
        <v>953</v>
      </c>
      <c r="H208" s="42" t="s">
        <v>954</v>
      </c>
    </row>
    <row r="209" spans="2:8" ht="52.5" thickBot="1">
      <c r="B209" s="42" t="s">
        <v>494</v>
      </c>
      <c r="C209" s="42"/>
      <c r="D209" s="42" t="s">
        <v>180</v>
      </c>
      <c r="E209" s="42" t="s">
        <v>748</v>
      </c>
      <c r="F209" s="42" t="s">
        <v>1089</v>
      </c>
      <c r="G209" s="42" t="s">
        <v>1090</v>
      </c>
      <c r="H209" s="42"/>
    </row>
    <row r="210" spans="2:8" ht="27" thickBot="1">
      <c r="B210" s="42" t="s">
        <v>495</v>
      </c>
      <c r="C210" s="42"/>
      <c r="D210" s="42" t="s">
        <v>181</v>
      </c>
      <c r="E210" s="42" t="s">
        <v>749</v>
      </c>
      <c r="F210" s="42"/>
      <c r="G210" s="42"/>
      <c r="H210" s="42"/>
    </row>
    <row r="211" spans="2:8" ht="52.5" thickBot="1">
      <c r="B211" s="42" t="s">
        <v>496</v>
      </c>
      <c r="C211" s="42"/>
      <c r="D211" s="42" t="s">
        <v>750</v>
      </c>
      <c r="E211" s="42" t="s">
        <v>724</v>
      </c>
      <c r="F211" s="42" t="s">
        <v>1091</v>
      </c>
      <c r="G211" s="42" t="s">
        <v>953</v>
      </c>
      <c r="H211" s="42" t="s">
        <v>954</v>
      </c>
    </row>
    <row r="212" spans="2:8" ht="27" thickBot="1">
      <c r="B212" s="42" t="s">
        <v>497</v>
      </c>
      <c r="C212" s="42"/>
      <c r="D212" s="42" t="s">
        <v>617</v>
      </c>
      <c r="E212" s="42" t="s">
        <v>751</v>
      </c>
      <c r="F212" s="42"/>
      <c r="G212" s="42"/>
      <c r="H212" s="42"/>
    </row>
    <row r="213" spans="2:8" ht="27" thickBot="1">
      <c r="B213" s="42" t="s">
        <v>498</v>
      </c>
      <c r="C213" s="42"/>
      <c r="D213" s="42" t="s">
        <v>182</v>
      </c>
      <c r="E213" s="42" t="s">
        <v>752</v>
      </c>
      <c r="F213" s="42"/>
      <c r="G213" s="42"/>
      <c r="H213" s="42"/>
    </row>
    <row r="214" spans="2:8" ht="39.75" thickBot="1">
      <c r="B214" s="42" t="s">
        <v>499</v>
      </c>
      <c r="C214" s="42" t="s">
        <v>13</v>
      </c>
      <c r="D214" s="42" t="s">
        <v>183</v>
      </c>
      <c r="E214" s="42" t="s">
        <v>753</v>
      </c>
      <c r="F214" s="42"/>
      <c r="G214" s="42" t="s">
        <v>953</v>
      </c>
      <c r="H214" s="42" t="s">
        <v>954</v>
      </c>
    </row>
    <row r="215" spans="2:8" ht="45.75" thickBot="1">
      <c r="B215" s="42" t="s">
        <v>500</v>
      </c>
      <c r="C215" s="43" t="s">
        <v>1277</v>
      </c>
      <c r="D215" s="42" t="s">
        <v>184</v>
      </c>
      <c r="E215" s="42" t="s">
        <v>753</v>
      </c>
      <c r="F215" s="42"/>
      <c r="G215" s="42" t="s">
        <v>953</v>
      </c>
      <c r="H215" s="42" t="s">
        <v>954</v>
      </c>
    </row>
    <row r="216" spans="2:8" ht="52.5" thickBot="1">
      <c r="B216" s="42" t="s">
        <v>501</v>
      </c>
      <c r="C216" s="43"/>
      <c r="D216" s="42" t="s">
        <v>185</v>
      </c>
      <c r="E216" s="42"/>
      <c r="F216" s="42"/>
      <c r="G216" s="42" t="s">
        <v>1299</v>
      </c>
      <c r="H216" s="42" t="s">
        <v>1300</v>
      </c>
    </row>
    <row r="217" spans="2:8" ht="52.5" thickBot="1">
      <c r="B217" s="42" t="s">
        <v>502</v>
      </c>
      <c r="C217" s="43"/>
      <c r="D217" s="42" t="s">
        <v>616</v>
      </c>
      <c r="E217" s="42" t="s">
        <v>724</v>
      </c>
      <c r="F217" s="42" t="s">
        <v>1307</v>
      </c>
      <c r="G217" s="42" t="s">
        <v>1299</v>
      </c>
      <c r="H217" s="42" t="s">
        <v>1300</v>
      </c>
    </row>
    <row r="218" spans="2:8" ht="52.5" thickBot="1">
      <c r="B218" s="42" t="s">
        <v>503</v>
      </c>
      <c r="C218" s="42"/>
      <c r="D218" s="42" t="s">
        <v>186</v>
      </c>
      <c r="E218" s="42" t="s">
        <v>724</v>
      </c>
      <c r="F218" s="42"/>
      <c r="G218" s="42"/>
      <c r="H218" s="42"/>
    </row>
    <row r="219" spans="2:8" ht="27" thickBot="1">
      <c r="B219" s="42" t="s">
        <v>504</v>
      </c>
      <c r="C219" s="42"/>
      <c r="D219" s="42" t="s">
        <v>187</v>
      </c>
      <c r="E219" s="42" t="s">
        <v>749</v>
      </c>
      <c r="F219" s="42"/>
      <c r="G219" s="42"/>
      <c r="H219" s="42"/>
    </row>
    <row r="220" spans="2:8" ht="52.5" thickBot="1">
      <c r="B220" s="42" t="s">
        <v>505</v>
      </c>
      <c r="C220" s="43"/>
      <c r="D220" s="42" t="s">
        <v>195</v>
      </c>
      <c r="E220" s="42" t="s">
        <v>754</v>
      </c>
      <c r="F220" s="42"/>
      <c r="G220" s="42"/>
      <c r="H220" s="42"/>
    </row>
    <row r="221" spans="2:8" ht="78" thickBot="1">
      <c r="B221" s="42" t="s">
        <v>889</v>
      </c>
      <c r="C221" s="43" t="s">
        <v>1099</v>
      </c>
      <c r="D221" s="42" t="s">
        <v>195</v>
      </c>
      <c r="E221" s="42" t="s">
        <v>951</v>
      </c>
      <c r="F221" s="42"/>
      <c r="G221" s="42"/>
      <c r="H221" s="42"/>
    </row>
    <row r="222" spans="2:8" ht="27" thickBot="1">
      <c r="B222" s="42" t="s">
        <v>506</v>
      </c>
      <c r="C222" s="42"/>
      <c r="D222" s="42" t="s">
        <v>196</v>
      </c>
      <c r="E222" s="42" t="s">
        <v>735</v>
      </c>
      <c r="F222" s="42"/>
      <c r="G222" s="42"/>
      <c r="H222" s="42"/>
    </row>
    <row r="223" spans="2:8" ht="52.5" thickBot="1">
      <c r="B223" s="42" t="s">
        <v>513</v>
      </c>
      <c r="C223" s="43"/>
      <c r="D223" s="42" t="s">
        <v>619</v>
      </c>
      <c r="E223" s="42" t="s">
        <v>756</v>
      </c>
      <c r="F223" s="42" t="s">
        <v>1092</v>
      </c>
      <c r="G223" s="42" t="s">
        <v>1093</v>
      </c>
      <c r="H223" s="42"/>
    </row>
    <row r="224" spans="2:8" ht="78" thickBot="1">
      <c r="B224" s="42" t="s">
        <v>891</v>
      </c>
      <c r="C224" s="43"/>
      <c r="D224" s="42" t="s">
        <v>927</v>
      </c>
      <c r="E224" s="42" t="s">
        <v>951</v>
      </c>
      <c r="F224" s="42" t="s">
        <v>1092</v>
      </c>
      <c r="G224" s="42" t="s">
        <v>1093</v>
      </c>
      <c r="H224" s="42"/>
    </row>
    <row r="225" spans="2:8" ht="78" thickBot="1">
      <c r="B225" s="42" t="s">
        <v>851</v>
      </c>
      <c r="C225" s="43" t="s">
        <v>1100</v>
      </c>
      <c r="D225" s="42" t="s">
        <v>852</v>
      </c>
      <c r="E225" s="42" t="s">
        <v>744</v>
      </c>
      <c r="F225" s="42"/>
      <c r="G225" s="42"/>
      <c r="H225" s="42" t="s">
        <v>1101</v>
      </c>
    </row>
    <row r="226" spans="2:8" ht="78" thickBot="1">
      <c r="B226" s="42" t="s">
        <v>890</v>
      </c>
      <c r="C226" s="43" t="s">
        <v>1102</v>
      </c>
      <c r="D226" s="42" t="s">
        <v>196</v>
      </c>
      <c r="E226" s="42" t="s">
        <v>951</v>
      </c>
      <c r="F226" s="42"/>
      <c r="G226" s="42"/>
      <c r="H226" s="42"/>
    </row>
    <row r="227" spans="2:8" ht="15.75" thickBot="1">
      <c r="B227" s="42" t="s">
        <v>508</v>
      </c>
      <c r="C227" s="42"/>
      <c r="D227" s="42" t="s">
        <v>198</v>
      </c>
      <c r="E227" s="42"/>
      <c r="F227" s="42"/>
      <c r="G227" s="42"/>
      <c r="H227" s="42"/>
    </row>
    <row r="228" spans="2:8" ht="39.75" thickBot="1">
      <c r="B228" s="42" t="s">
        <v>512</v>
      </c>
      <c r="C228" s="42"/>
      <c r="D228" s="42" t="s">
        <v>618</v>
      </c>
      <c r="E228" s="42" t="s">
        <v>756</v>
      </c>
      <c r="F228" s="42"/>
      <c r="G228" s="42" t="s">
        <v>953</v>
      </c>
      <c r="H228" s="42" t="s">
        <v>954</v>
      </c>
    </row>
    <row r="229" spans="2:8" ht="78" thickBot="1">
      <c r="B229" s="42" t="s">
        <v>879</v>
      </c>
      <c r="C229" s="43" t="s">
        <v>1103</v>
      </c>
      <c r="D229" s="42" t="s">
        <v>1104</v>
      </c>
      <c r="E229" s="42" t="s">
        <v>905</v>
      </c>
      <c r="F229" s="42"/>
      <c r="G229" s="42"/>
      <c r="H229" s="42" t="s">
        <v>1105</v>
      </c>
    </row>
    <row r="230" spans="2:8" ht="52.5" thickBot="1">
      <c r="B230" s="42" t="s">
        <v>518</v>
      </c>
      <c r="C230" s="43" t="s">
        <v>35</v>
      </c>
      <c r="D230" s="42" t="s">
        <v>1278</v>
      </c>
      <c r="E230" s="42" t="s">
        <v>742</v>
      </c>
      <c r="F230" s="42" t="s">
        <v>1106</v>
      </c>
      <c r="G230" s="42" t="s">
        <v>1279</v>
      </c>
      <c r="H230" s="42"/>
    </row>
    <row r="231" spans="2:8" ht="27" thickBot="1">
      <c r="B231" s="42" t="s">
        <v>527</v>
      </c>
      <c r="C231" s="42"/>
      <c r="D231" s="42" t="s">
        <v>206</v>
      </c>
      <c r="E231" s="42" t="s">
        <v>760</v>
      </c>
      <c r="F231" s="42"/>
      <c r="G231" s="42"/>
      <c r="H231" s="42"/>
    </row>
    <row r="232" spans="2:8" ht="78" thickBot="1">
      <c r="B232" s="42" t="s">
        <v>837</v>
      </c>
      <c r="C232" s="42" t="s">
        <v>1107</v>
      </c>
      <c r="D232" s="42" t="s">
        <v>203</v>
      </c>
      <c r="E232" s="42" t="s">
        <v>1108</v>
      </c>
      <c r="F232" s="42"/>
      <c r="G232" s="42"/>
      <c r="H232" s="42"/>
    </row>
    <row r="233" spans="2:8" ht="52.5" thickBot="1">
      <c r="B233" s="42" t="s">
        <v>514</v>
      </c>
      <c r="C233" s="42"/>
      <c r="D233" s="42" t="s">
        <v>202</v>
      </c>
      <c r="E233" s="42" t="s">
        <v>902</v>
      </c>
      <c r="F233" s="42"/>
      <c r="G233" s="42" t="s">
        <v>953</v>
      </c>
      <c r="H233" s="42" t="s">
        <v>954</v>
      </c>
    </row>
    <row r="234" spans="2:8" ht="103.5" thickBot="1">
      <c r="B234" s="42" t="s">
        <v>880</v>
      </c>
      <c r="C234" s="42" t="s">
        <v>1109</v>
      </c>
      <c r="D234" s="42" t="s">
        <v>202</v>
      </c>
      <c r="E234" s="42" t="s">
        <v>906</v>
      </c>
      <c r="F234" s="42"/>
      <c r="G234" s="42"/>
      <c r="H234" s="42" t="s">
        <v>1110</v>
      </c>
    </row>
    <row r="235" spans="2:8" ht="52.5" thickBot="1">
      <c r="B235" s="42" t="s">
        <v>515</v>
      </c>
      <c r="C235" s="42"/>
      <c r="D235" s="42" t="s">
        <v>620</v>
      </c>
      <c r="E235" s="42" t="s">
        <v>902</v>
      </c>
      <c r="F235" s="42"/>
      <c r="G235" s="42" t="s">
        <v>953</v>
      </c>
      <c r="H235" s="42" t="s">
        <v>954</v>
      </c>
    </row>
    <row r="236" spans="2:8" ht="78" thickBot="1">
      <c r="B236" s="42" t="s">
        <v>853</v>
      </c>
      <c r="C236" s="42" t="s">
        <v>1111</v>
      </c>
      <c r="D236" s="42" t="s">
        <v>854</v>
      </c>
      <c r="E236" s="42" t="s">
        <v>745</v>
      </c>
      <c r="F236" s="42"/>
      <c r="G236" s="42"/>
      <c r="H236" s="42" t="s">
        <v>1101</v>
      </c>
    </row>
    <row r="237" spans="2:8" ht="27" thickBot="1">
      <c r="B237" s="42" t="s">
        <v>516</v>
      </c>
      <c r="C237" s="43"/>
      <c r="D237" s="42" t="s">
        <v>207</v>
      </c>
      <c r="E237" s="42" t="s">
        <v>725</v>
      </c>
      <c r="F237" s="42"/>
      <c r="G237" s="42"/>
      <c r="H237" s="42"/>
    </row>
    <row r="238" spans="2:8" ht="27" thickBot="1">
      <c r="B238" s="42" t="s">
        <v>517</v>
      </c>
      <c r="C238" s="43"/>
      <c r="D238" s="42" t="s">
        <v>621</v>
      </c>
      <c r="E238" s="42" t="s">
        <v>725</v>
      </c>
      <c r="F238" s="42"/>
      <c r="G238" s="42"/>
      <c r="H238" s="42"/>
    </row>
    <row r="239" spans="2:8" ht="65.25" thickBot="1">
      <c r="B239" s="42" t="s">
        <v>519</v>
      </c>
      <c r="C239" s="42" t="s">
        <v>40</v>
      </c>
      <c r="D239" s="42" t="s">
        <v>194</v>
      </c>
      <c r="E239" s="42" t="s">
        <v>757</v>
      </c>
      <c r="F239" s="42"/>
      <c r="G239" s="42"/>
      <c r="H239" s="42"/>
    </row>
    <row r="240" spans="2:8" ht="65.25" thickBot="1">
      <c r="B240" s="42" t="s">
        <v>622</v>
      </c>
      <c r="C240" s="42" t="s">
        <v>40</v>
      </c>
      <c r="D240" s="42" t="s">
        <v>623</v>
      </c>
      <c r="E240" s="42" t="s">
        <v>757</v>
      </c>
      <c r="F240" s="42"/>
      <c r="G240" s="42" t="s">
        <v>953</v>
      </c>
      <c r="H240" s="42" t="s">
        <v>954</v>
      </c>
    </row>
    <row r="241" spans="2:8" ht="39.75" thickBot="1">
      <c r="B241" s="42" t="s">
        <v>520</v>
      </c>
      <c r="C241" s="43" t="s">
        <v>40</v>
      </c>
      <c r="D241" s="42" t="s">
        <v>193</v>
      </c>
      <c r="E241" s="42" t="s">
        <v>758</v>
      </c>
      <c r="F241" s="42"/>
      <c r="G241" s="42" t="s">
        <v>1019</v>
      </c>
      <c r="H241" s="42" t="s">
        <v>1020</v>
      </c>
    </row>
    <row r="242" spans="2:8" ht="27" thickBot="1">
      <c r="B242" s="42" t="s">
        <v>521</v>
      </c>
      <c r="C242" s="43"/>
      <c r="D242" s="42" t="s">
        <v>624</v>
      </c>
      <c r="E242" s="42" t="s">
        <v>726</v>
      </c>
      <c r="F242" s="42"/>
      <c r="G242" s="42"/>
      <c r="H242" s="42"/>
    </row>
    <row r="243" spans="2:8" ht="52.5" thickBot="1">
      <c r="B243" s="42" t="s">
        <v>522</v>
      </c>
      <c r="C243" s="43" t="s">
        <v>40</v>
      </c>
      <c r="D243" s="42" t="s">
        <v>188</v>
      </c>
      <c r="E243" s="42" t="s">
        <v>759</v>
      </c>
      <c r="F243" s="42" t="s">
        <v>1112</v>
      </c>
      <c r="G243" s="42" t="s">
        <v>1113</v>
      </c>
      <c r="H243" s="42" t="s">
        <v>1114</v>
      </c>
    </row>
    <row r="244" spans="2:8" ht="39.75" thickBot="1">
      <c r="B244" s="42" t="s">
        <v>523</v>
      </c>
      <c r="C244" s="43"/>
      <c r="D244" s="42" t="s">
        <v>625</v>
      </c>
      <c r="E244" s="42" t="s">
        <v>1322</v>
      </c>
      <c r="F244" s="42"/>
      <c r="G244" s="42" t="s">
        <v>953</v>
      </c>
      <c r="H244" s="42" t="s">
        <v>954</v>
      </c>
    </row>
    <row r="245" spans="2:8" ht="52.5" thickBot="1">
      <c r="B245" s="42" t="s">
        <v>607</v>
      </c>
      <c r="C245" s="43"/>
      <c r="D245" s="42" t="s">
        <v>626</v>
      </c>
      <c r="E245" s="42" t="s">
        <v>727</v>
      </c>
      <c r="F245" s="42" t="s">
        <v>1115</v>
      </c>
      <c r="G245" s="42" t="s">
        <v>953</v>
      </c>
      <c r="H245" s="42" t="s">
        <v>954</v>
      </c>
    </row>
    <row r="246" spans="2:8" ht="15.75" thickBot="1">
      <c r="B246" s="42" t="s">
        <v>525</v>
      </c>
      <c r="C246" s="43"/>
      <c r="D246" s="42" t="s">
        <v>204</v>
      </c>
      <c r="E246" s="42"/>
      <c r="F246" s="42"/>
      <c r="G246" s="42"/>
      <c r="H246" s="42"/>
    </row>
    <row r="247" spans="2:8" ht="27" thickBot="1">
      <c r="B247" s="42" t="s">
        <v>524</v>
      </c>
      <c r="C247" s="43"/>
      <c r="D247" s="42" t="s">
        <v>627</v>
      </c>
      <c r="E247" s="42" t="s">
        <v>725</v>
      </c>
      <c r="F247" s="42"/>
      <c r="G247" s="42"/>
      <c r="H247" s="42"/>
    </row>
    <row r="248" spans="2:8" ht="15.75" thickBot="1">
      <c r="B248" s="42" t="s">
        <v>526</v>
      </c>
      <c r="C248" s="43"/>
      <c r="D248" s="42" t="s">
        <v>205</v>
      </c>
      <c r="E248" s="42"/>
      <c r="F248" s="42"/>
      <c r="G248" s="42"/>
      <c r="H248" s="42"/>
    </row>
    <row r="249" spans="2:8" ht="52.5" thickBot="1">
      <c r="B249" s="42" t="s">
        <v>509</v>
      </c>
      <c r="C249" s="43"/>
      <c r="D249" s="42" t="s">
        <v>200</v>
      </c>
      <c r="E249" s="42" t="s">
        <v>755</v>
      </c>
      <c r="F249" s="42" t="s">
        <v>1116</v>
      </c>
      <c r="G249" s="42"/>
      <c r="H249" s="42"/>
    </row>
    <row r="250" spans="2:8" ht="27" thickBot="1">
      <c r="B250" s="42" t="s">
        <v>540</v>
      </c>
      <c r="C250" s="42"/>
      <c r="D250" s="42" t="s">
        <v>215</v>
      </c>
      <c r="E250" s="42" t="s">
        <v>764</v>
      </c>
      <c r="F250" s="42"/>
      <c r="G250" s="42" t="s">
        <v>1117</v>
      </c>
      <c r="H250" s="42"/>
    </row>
    <row r="251" spans="2:8" ht="52.5" thickBot="1">
      <c r="B251" s="42" t="s">
        <v>510</v>
      </c>
      <c r="C251" s="42"/>
      <c r="D251" s="42" t="s">
        <v>201</v>
      </c>
      <c r="E251" s="42" t="s">
        <v>755</v>
      </c>
      <c r="F251" s="42" t="s">
        <v>1116</v>
      </c>
      <c r="G251" s="42" t="s">
        <v>1118</v>
      </c>
      <c r="H251" s="42" t="s">
        <v>1119</v>
      </c>
    </row>
    <row r="252" spans="2:8" ht="52.5" thickBot="1">
      <c r="B252" s="42" t="s">
        <v>628</v>
      </c>
      <c r="C252" s="43"/>
      <c r="D252" s="42" t="s">
        <v>629</v>
      </c>
      <c r="E252" s="42" t="s">
        <v>761</v>
      </c>
      <c r="F252" s="42" t="s">
        <v>1120</v>
      </c>
      <c r="G252" s="42" t="s">
        <v>953</v>
      </c>
      <c r="H252" s="42" t="s">
        <v>954</v>
      </c>
    </row>
    <row r="253" spans="2:8" ht="39.75" thickBot="1">
      <c r="B253" s="42" t="s">
        <v>528</v>
      </c>
      <c r="C253" s="43"/>
      <c r="D253" s="42" t="s">
        <v>208</v>
      </c>
      <c r="E253" s="42" t="s">
        <v>762</v>
      </c>
      <c r="F253" s="42"/>
      <c r="G253" s="42" t="s">
        <v>953</v>
      </c>
      <c r="H253" s="42" t="s">
        <v>954</v>
      </c>
    </row>
    <row r="254" spans="2:8" ht="27" thickBot="1">
      <c r="B254" s="42" t="s">
        <v>529</v>
      </c>
      <c r="C254" s="42"/>
      <c r="D254" s="42" t="s">
        <v>209</v>
      </c>
      <c r="E254" s="42" t="s">
        <v>762</v>
      </c>
      <c r="F254" s="42"/>
      <c r="G254" s="42"/>
      <c r="H254" s="42"/>
    </row>
    <row r="255" spans="2:8" ht="27" thickBot="1">
      <c r="B255" s="42" t="s">
        <v>530</v>
      </c>
      <c r="C255" s="42"/>
      <c r="D255" s="42" t="s">
        <v>630</v>
      </c>
      <c r="E255" s="42"/>
      <c r="F255" s="42"/>
      <c r="G255" s="42"/>
      <c r="H255" s="42"/>
    </row>
    <row r="256" spans="2:8" ht="65.25" thickBot="1">
      <c r="B256" s="42" t="s">
        <v>531</v>
      </c>
      <c r="C256" s="42"/>
      <c r="D256" s="42" t="s">
        <v>631</v>
      </c>
      <c r="E256" s="42" t="s">
        <v>745</v>
      </c>
      <c r="F256" s="42" t="s">
        <v>1121</v>
      </c>
      <c r="G256" s="42" t="s">
        <v>1019</v>
      </c>
      <c r="H256" s="42" t="s">
        <v>1087</v>
      </c>
    </row>
    <row r="257" spans="2:8" ht="65.25" thickBot="1">
      <c r="B257" s="42" t="s">
        <v>532</v>
      </c>
      <c r="C257" s="42"/>
      <c r="D257" s="42" t="s">
        <v>632</v>
      </c>
      <c r="E257" s="42" t="s">
        <v>745</v>
      </c>
      <c r="F257" s="42" t="s">
        <v>1121</v>
      </c>
      <c r="G257" s="42" t="s">
        <v>1019</v>
      </c>
      <c r="H257" s="42" t="s">
        <v>1087</v>
      </c>
    </row>
    <row r="258" spans="2:8" ht="65.25" thickBot="1">
      <c r="B258" s="42" t="s">
        <v>533</v>
      </c>
      <c r="C258" s="42"/>
      <c r="D258" s="42" t="s">
        <v>210</v>
      </c>
      <c r="E258" s="42" t="s">
        <v>761</v>
      </c>
      <c r="F258" s="42" t="s">
        <v>1122</v>
      </c>
      <c r="G258" s="42" t="s">
        <v>1123</v>
      </c>
      <c r="H258" s="42"/>
    </row>
    <row r="259" spans="2:8" ht="52.5" thickBot="1">
      <c r="B259" s="42" t="s">
        <v>534</v>
      </c>
      <c r="C259" s="42"/>
      <c r="D259" s="42" t="s">
        <v>211</v>
      </c>
      <c r="E259" s="42" t="s">
        <v>761</v>
      </c>
      <c r="F259" s="42" t="s">
        <v>1124</v>
      </c>
      <c r="G259" s="42"/>
      <c r="H259" s="42"/>
    </row>
    <row r="260" spans="2:8" ht="52.5" thickBot="1">
      <c r="B260" s="42" t="s">
        <v>535</v>
      </c>
      <c r="C260" s="42"/>
      <c r="D260" s="42" t="s">
        <v>212</v>
      </c>
      <c r="E260" s="42" t="s">
        <v>761</v>
      </c>
      <c r="F260" s="42"/>
      <c r="G260" s="42"/>
      <c r="H260" s="42"/>
    </row>
    <row r="261" spans="2:8" ht="52.5" thickBot="1">
      <c r="B261" s="42" t="s">
        <v>536</v>
      </c>
      <c r="C261" s="42"/>
      <c r="D261" s="42" t="s">
        <v>213</v>
      </c>
      <c r="E261" s="42" t="s">
        <v>761</v>
      </c>
      <c r="F261" s="42"/>
      <c r="G261" s="42" t="s">
        <v>953</v>
      </c>
      <c r="H261" s="42" t="s">
        <v>954</v>
      </c>
    </row>
    <row r="262" spans="2:8" ht="65.25" thickBot="1">
      <c r="B262" s="42" t="s">
        <v>537</v>
      </c>
      <c r="C262" s="42"/>
      <c r="D262" s="42" t="s">
        <v>633</v>
      </c>
      <c r="E262" s="42" t="s">
        <v>756</v>
      </c>
      <c r="F262" s="42" t="s">
        <v>1121</v>
      </c>
      <c r="G262" s="42" t="s">
        <v>953</v>
      </c>
      <c r="H262" s="42" t="s">
        <v>954</v>
      </c>
    </row>
    <row r="263" spans="2:8" ht="39.75" thickBot="1">
      <c r="B263" s="42" t="s">
        <v>538</v>
      </c>
      <c r="C263" s="42"/>
      <c r="D263" s="42" t="s">
        <v>763</v>
      </c>
      <c r="E263" s="42"/>
      <c r="F263" s="42"/>
      <c r="G263" s="42" t="s">
        <v>953</v>
      </c>
      <c r="H263" s="42" t="s">
        <v>954</v>
      </c>
    </row>
    <row r="264" spans="2:8" ht="78" thickBot="1">
      <c r="B264" s="42" t="s">
        <v>855</v>
      </c>
      <c r="C264" s="42"/>
      <c r="D264" s="42" t="s">
        <v>856</v>
      </c>
      <c r="E264" s="42" t="s">
        <v>745</v>
      </c>
      <c r="F264" s="42" t="s">
        <v>1125</v>
      </c>
      <c r="G264" s="42"/>
      <c r="H264" s="42" t="s">
        <v>1101</v>
      </c>
    </row>
    <row r="265" spans="2:8" ht="52.5" thickBot="1">
      <c r="B265" s="42" t="s">
        <v>539</v>
      </c>
      <c r="C265" s="42"/>
      <c r="D265" s="42" t="s">
        <v>214</v>
      </c>
      <c r="E265" s="42" t="s">
        <v>761</v>
      </c>
      <c r="F265" s="42"/>
      <c r="G265" s="42"/>
      <c r="H265" s="42"/>
    </row>
    <row r="266" spans="2:8" ht="15.75" thickBot="1">
      <c r="B266" s="42" t="s">
        <v>511</v>
      </c>
      <c r="C266" s="42"/>
      <c r="D266" s="42" t="s">
        <v>199</v>
      </c>
      <c r="E266" s="42"/>
      <c r="F266" s="42"/>
      <c r="G266" s="42"/>
      <c r="H266" s="42"/>
    </row>
    <row r="267" spans="2:8" ht="52.5" thickBot="1">
      <c r="B267" s="42" t="s">
        <v>436</v>
      </c>
      <c r="C267" s="43" t="s">
        <v>23</v>
      </c>
      <c r="D267" s="42" t="s">
        <v>70</v>
      </c>
      <c r="E267" s="42" t="s">
        <v>732</v>
      </c>
      <c r="F267" s="42" t="s">
        <v>1126</v>
      </c>
      <c r="G267" s="42" t="s">
        <v>953</v>
      </c>
      <c r="H267" s="42" t="s">
        <v>954</v>
      </c>
    </row>
    <row r="268" spans="2:8" ht="103.5" thickBot="1">
      <c r="B268" s="42" t="s">
        <v>715</v>
      </c>
      <c r="C268" s="43" t="s">
        <v>1127</v>
      </c>
      <c r="D268" s="42" t="s">
        <v>70</v>
      </c>
      <c r="E268" s="42" t="s">
        <v>728</v>
      </c>
      <c r="F268" s="42" t="s">
        <v>1128</v>
      </c>
      <c r="G268" s="42" t="s">
        <v>1129</v>
      </c>
      <c r="H268" s="42" t="s">
        <v>1130</v>
      </c>
    </row>
    <row r="269" spans="2:8" ht="52.5" thickBot="1">
      <c r="B269" s="42" t="s">
        <v>437</v>
      </c>
      <c r="C269" s="42" t="s">
        <v>25</v>
      </c>
      <c r="D269" s="42" t="s">
        <v>676</v>
      </c>
      <c r="E269" s="42" t="s">
        <v>732</v>
      </c>
      <c r="F269" s="42" t="s">
        <v>1036</v>
      </c>
      <c r="G269" s="42" t="s">
        <v>1131</v>
      </c>
      <c r="H269" s="42" t="s">
        <v>1132</v>
      </c>
    </row>
    <row r="270" spans="2:8" ht="52.5" thickBot="1">
      <c r="B270" s="42" t="s">
        <v>435</v>
      </c>
      <c r="C270" s="42" t="s">
        <v>15</v>
      </c>
      <c r="D270" s="42" t="s">
        <v>69</v>
      </c>
      <c r="E270" s="42" t="s">
        <v>732</v>
      </c>
      <c r="F270" s="42" t="s">
        <v>1133</v>
      </c>
      <c r="G270" s="42" t="s">
        <v>953</v>
      </c>
      <c r="H270" s="42" t="s">
        <v>954</v>
      </c>
    </row>
    <row r="271" spans="2:8" ht="103.5" thickBot="1">
      <c r="B271" s="42" t="s">
        <v>888</v>
      </c>
      <c r="C271" s="42" t="s">
        <v>1134</v>
      </c>
      <c r="D271" s="42" t="s">
        <v>69</v>
      </c>
      <c r="E271" s="42" t="s">
        <v>728</v>
      </c>
      <c r="F271" s="42" t="s">
        <v>1133</v>
      </c>
      <c r="G271" s="42"/>
      <c r="H271" s="42" t="s">
        <v>1135</v>
      </c>
    </row>
    <row r="272" spans="2:8" ht="65.25" thickBot="1">
      <c r="B272" s="42" t="s">
        <v>438</v>
      </c>
      <c r="C272" s="42" t="s">
        <v>53</v>
      </c>
      <c r="D272" s="42" t="s">
        <v>677</v>
      </c>
      <c r="E272" s="42" t="s">
        <v>742</v>
      </c>
      <c r="F272" s="42" t="s">
        <v>1126</v>
      </c>
      <c r="G272" s="42" t="s">
        <v>1136</v>
      </c>
      <c r="H272" s="42" t="s">
        <v>1137</v>
      </c>
    </row>
    <row r="273" spans="2:8" ht="90.75" thickBot="1">
      <c r="B273" s="42" t="s">
        <v>926</v>
      </c>
      <c r="C273" s="42" t="s">
        <v>1138</v>
      </c>
      <c r="D273" s="42" t="s">
        <v>677</v>
      </c>
      <c r="E273" s="42" t="s">
        <v>1139</v>
      </c>
      <c r="F273" s="42"/>
      <c r="G273" s="42"/>
      <c r="H273" s="42"/>
    </row>
    <row r="274" spans="2:8" ht="52.5" thickBot="1">
      <c r="B274" s="42" t="s">
        <v>432</v>
      </c>
      <c r="C274" s="42" t="s">
        <v>9</v>
      </c>
      <c r="D274" s="42" t="s">
        <v>62</v>
      </c>
      <c r="E274" s="42" t="s">
        <v>742</v>
      </c>
      <c r="F274" s="42" t="s">
        <v>1133</v>
      </c>
      <c r="G274" s="42"/>
      <c r="H274" s="42"/>
    </row>
    <row r="275" spans="2:8" ht="78" thickBot="1">
      <c r="B275" s="42" t="s">
        <v>930</v>
      </c>
      <c r="C275" s="43" t="s">
        <v>1140</v>
      </c>
      <c r="D275" s="42" t="s">
        <v>62</v>
      </c>
      <c r="E275" s="42" t="s">
        <v>1141</v>
      </c>
      <c r="F275" s="42"/>
      <c r="G275" s="42"/>
      <c r="H275" s="42"/>
    </row>
    <row r="276" spans="2:8" ht="52.5" thickBot="1">
      <c r="B276" s="42" t="s">
        <v>433</v>
      </c>
      <c r="C276" s="42" t="s">
        <v>1280</v>
      </c>
      <c r="D276" s="42" t="s">
        <v>65</v>
      </c>
      <c r="E276" s="42" t="s">
        <v>808</v>
      </c>
      <c r="F276" s="42" t="s">
        <v>1126</v>
      </c>
      <c r="G276" s="42" t="s">
        <v>953</v>
      </c>
      <c r="H276" s="42" t="s">
        <v>1013</v>
      </c>
    </row>
    <row r="277" spans="2:8" ht="52.5" thickBot="1">
      <c r="B277" s="42" t="s">
        <v>434</v>
      </c>
      <c r="C277" s="42" t="s">
        <v>1281</v>
      </c>
      <c r="D277" s="42" t="s">
        <v>68</v>
      </c>
      <c r="E277" s="42" t="s">
        <v>808</v>
      </c>
      <c r="F277" s="42" t="s">
        <v>1126</v>
      </c>
      <c r="G277" s="42"/>
      <c r="H277" s="42" t="s">
        <v>1142</v>
      </c>
    </row>
    <row r="278" spans="2:8" ht="52.5" thickBot="1">
      <c r="B278" s="42" t="s">
        <v>431</v>
      </c>
      <c r="C278" s="42" t="s">
        <v>5</v>
      </c>
      <c r="D278" s="42" t="s">
        <v>61</v>
      </c>
      <c r="E278" s="42" t="s">
        <v>732</v>
      </c>
      <c r="F278" s="42" t="s">
        <v>1133</v>
      </c>
      <c r="G278" s="42" t="s">
        <v>973</v>
      </c>
      <c r="H278" s="42" t="s">
        <v>1143</v>
      </c>
    </row>
    <row r="279" spans="2:8" ht="90.75" thickBot="1">
      <c r="B279" s="42" t="s">
        <v>929</v>
      </c>
      <c r="C279" s="42" t="s">
        <v>1144</v>
      </c>
      <c r="D279" s="42" t="s">
        <v>61</v>
      </c>
      <c r="E279" s="42" t="s">
        <v>1145</v>
      </c>
      <c r="F279" s="42"/>
      <c r="G279" s="42"/>
      <c r="H279" s="42"/>
    </row>
    <row r="280" spans="2:8" ht="103.5" thickBot="1">
      <c r="B280" s="42" t="s">
        <v>1283</v>
      </c>
      <c r="C280" s="42" t="s">
        <v>1308</v>
      </c>
      <c r="D280" s="42" t="s">
        <v>1284</v>
      </c>
      <c r="E280" s="42" t="s">
        <v>728</v>
      </c>
      <c r="F280" s="42" t="s">
        <v>1152</v>
      </c>
      <c r="G280" s="42"/>
      <c r="H280" s="42" t="s">
        <v>1285</v>
      </c>
    </row>
    <row r="281" spans="2:8" ht="52.5" thickBot="1">
      <c r="B281" s="42" t="s">
        <v>563</v>
      </c>
      <c r="C281" s="42"/>
      <c r="D281" s="42" t="s">
        <v>85</v>
      </c>
      <c r="E281" s="42" t="s">
        <v>732</v>
      </c>
      <c r="F281" s="42" t="s">
        <v>770</v>
      </c>
      <c r="G281" s="42" t="s">
        <v>953</v>
      </c>
      <c r="H281" s="42" t="s">
        <v>954</v>
      </c>
    </row>
    <row r="282" spans="2:8" ht="103.5" thickBot="1">
      <c r="B282" s="42" t="s">
        <v>916</v>
      </c>
      <c r="C282" s="42" t="s">
        <v>1154</v>
      </c>
      <c r="D282" s="42" t="s">
        <v>85</v>
      </c>
      <c r="E282" s="42" t="s">
        <v>928</v>
      </c>
      <c r="F282" s="42"/>
      <c r="G282" s="42"/>
      <c r="H282" s="42" t="s">
        <v>1155</v>
      </c>
    </row>
    <row r="283" spans="2:8" ht="103.5" thickBot="1">
      <c r="B283" s="42" t="s">
        <v>872</v>
      </c>
      <c r="C283" s="43" t="s">
        <v>1156</v>
      </c>
      <c r="D283" s="42" t="s">
        <v>82</v>
      </c>
      <c r="E283" s="42" t="s">
        <v>728</v>
      </c>
      <c r="F283" s="42" t="s">
        <v>1157</v>
      </c>
      <c r="G283" s="42" t="s">
        <v>1158</v>
      </c>
      <c r="H283" s="42" t="s">
        <v>1159</v>
      </c>
    </row>
    <row r="284" spans="2:8" ht="52.5" thickBot="1">
      <c r="B284" s="42" t="s">
        <v>564</v>
      </c>
      <c r="C284" s="43"/>
      <c r="D284" s="42" t="s">
        <v>765</v>
      </c>
      <c r="E284" s="42" t="s">
        <v>766</v>
      </c>
      <c r="F284" s="42" t="s">
        <v>1146</v>
      </c>
      <c r="G284" s="42" t="s">
        <v>953</v>
      </c>
      <c r="H284" s="42" t="s">
        <v>954</v>
      </c>
    </row>
    <row r="285" spans="2:8" ht="52.5" thickBot="1">
      <c r="B285" s="42" t="s">
        <v>565</v>
      </c>
      <c r="C285" s="43"/>
      <c r="D285" s="42" t="s">
        <v>637</v>
      </c>
      <c r="E285" s="42" t="s">
        <v>732</v>
      </c>
      <c r="F285" s="42" t="s">
        <v>768</v>
      </c>
      <c r="G285" s="42" t="s">
        <v>953</v>
      </c>
      <c r="H285" s="42" t="s">
        <v>954</v>
      </c>
    </row>
    <row r="286" spans="2:8" ht="27" thickBot="1">
      <c r="B286" s="42" t="s">
        <v>566</v>
      </c>
      <c r="C286" s="42"/>
      <c r="D286" s="42" t="s">
        <v>767</v>
      </c>
      <c r="E286" s="42" t="s">
        <v>768</v>
      </c>
      <c r="F286" s="42" t="s">
        <v>1079</v>
      </c>
      <c r="G286" s="42"/>
      <c r="H286" s="42"/>
    </row>
    <row r="287" spans="2:8" ht="78" thickBot="1">
      <c r="B287" s="42" t="s">
        <v>920</v>
      </c>
      <c r="C287" s="42" t="s">
        <v>1160</v>
      </c>
      <c r="D287" s="42" t="s">
        <v>921</v>
      </c>
      <c r="E287" s="42" t="s">
        <v>1161</v>
      </c>
      <c r="F287" s="42"/>
      <c r="G287" s="42"/>
      <c r="H287" s="42"/>
    </row>
    <row r="288" spans="2:8" ht="52.5" thickBot="1">
      <c r="B288" s="42" t="s">
        <v>567</v>
      </c>
      <c r="C288" s="42"/>
      <c r="D288" s="42" t="s">
        <v>769</v>
      </c>
      <c r="E288" s="42" t="s">
        <v>770</v>
      </c>
      <c r="F288" s="42" t="s">
        <v>1303</v>
      </c>
      <c r="G288" s="42" t="s">
        <v>1299</v>
      </c>
      <c r="H288" s="42" t="s">
        <v>1300</v>
      </c>
    </row>
    <row r="289" spans="2:8" ht="103.5" thickBot="1">
      <c r="B289" s="42" t="s">
        <v>877</v>
      </c>
      <c r="C289" s="42" t="s">
        <v>1162</v>
      </c>
      <c r="D289" s="42" t="s">
        <v>878</v>
      </c>
      <c r="E289" s="42" t="s">
        <v>728</v>
      </c>
      <c r="F289" s="42" t="s">
        <v>1309</v>
      </c>
      <c r="G289" s="42" t="s">
        <v>1303</v>
      </c>
      <c r="H289" s="42" t="s">
        <v>1310</v>
      </c>
    </row>
    <row r="290" spans="2:8" ht="52.5" thickBot="1">
      <c r="B290" s="42" t="s">
        <v>569</v>
      </c>
      <c r="C290" s="42"/>
      <c r="D290" s="42" t="s">
        <v>772</v>
      </c>
      <c r="E290" s="42" t="s">
        <v>773</v>
      </c>
      <c r="F290" s="42" t="s">
        <v>1311</v>
      </c>
      <c r="G290" s="42" t="s">
        <v>1312</v>
      </c>
      <c r="H290" s="42" t="s">
        <v>1313</v>
      </c>
    </row>
    <row r="291" spans="2:8" ht="90.75" thickBot="1">
      <c r="B291" s="42" t="s">
        <v>570</v>
      </c>
      <c r="C291" s="42"/>
      <c r="D291" s="42" t="s">
        <v>774</v>
      </c>
      <c r="E291" s="42" t="s">
        <v>773</v>
      </c>
      <c r="F291" s="42" t="s">
        <v>1289</v>
      </c>
      <c r="G291" s="42" t="s">
        <v>1301</v>
      </c>
      <c r="H291" s="42" t="s">
        <v>1302</v>
      </c>
    </row>
    <row r="292" spans="2:8" ht="52.5" thickBot="1">
      <c r="B292" s="42" t="s">
        <v>574</v>
      </c>
      <c r="C292" s="42"/>
      <c r="D292" s="42" t="s">
        <v>86</v>
      </c>
      <c r="E292" s="42" t="s">
        <v>732</v>
      </c>
      <c r="F292" s="42" t="s">
        <v>770</v>
      </c>
      <c r="G292" s="42" t="s">
        <v>965</v>
      </c>
      <c r="H292" s="42"/>
    </row>
    <row r="293" spans="2:8" ht="52.5" thickBot="1">
      <c r="B293" s="42" t="s">
        <v>575</v>
      </c>
      <c r="C293" s="42"/>
      <c r="D293" s="42" t="s">
        <v>779</v>
      </c>
      <c r="E293" s="42" t="s">
        <v>732</v>
      </c>
      <c r="F293" s="42" t="s">
        <v>1147</v>
      </c>
      <c r="G293" s="42" t="s">
        <v>1148</v>
      </c>
      <c r="H293" s="42" t="s">
        <v>1149</v>
      </c>
    </row>
    <row r="294" spans="2:8" ht="52.5" thickBot="1">
      <c r="B294" s="42" t="s">
        <v>576</v>
      </c>
      <c r="C294" s="42"/>
      <c r="D294" s="42" t="s">
        <v>780</v>
      </c>
      <c r="E294" s="42" t="s">
        <v>732</v>
      </c>
      <c r="F294" s="42" t="s">
        <v>1146</v>
      </c>
      <c r="G294" s="42" t="s">
        <v>965</v>
      </c>
      <c r="H294" s="42" t="s">
        <v>1149</v>
      </c>
    </row>
    <row r="295" spans="2:8" ht="52.5" thickBot="1">
      <c r="B295" s="42" t="s">
        <v>577</v>
      </c>
      <c r="C295" s="42"/>
      <c r="D295" s="42" t="s">
        <v>87</v>
      </c>
      <c r="E295" s="42" t="s">
        <v>732</v>
      </c>
      <c r="F295" s="42"/>
      <c r="G295" s="42" t="s">
        <v>965</v>
      </c>
      <c r="H295" s="42" t="s">
        <v>1149</v>
      </c>
    </row>
    <row r="296" spans="2:8" ht="52.5" thickBot="1">
      <c r="B296" s="42" t="s">
        <v>578</v>
      </c>
      <c r="C296" s="42"/>
      <c r="D296" s="42" t="s">
        <v>781</v>
      </c>
      <c r="E296" s="42" t="s">
        <v>732</v>
      </c>
      <c r="F296" s="42" t="s">
        <v>783</v>
      </c>
      <c r="G296" s="42" t="s">
        <v>1148</v>
      </c>
      <c r="H296" s="42" t="s">
        <v>1150</v>
      </c>
    </row>
    <row r="297" spans="2:8" ht="39.75" thickBot="1">
      <c r="B297" s="42" t="s">
        <v>579</v>
      </c>
      <c r="C297" s="42"/>
      <c r="D297" s="42" t="s">
        <v>782</v>
      </c>
      <c r="E297" s="42" t="s">
        <v>783</v>
      </c>
      <c r="F297" s="42" t="s">
        <v>1001</v>
      </c>
      <c r="G297" s="42" t="s">
        <v>1151</v>
      </c>
      <c r="H297" s="42" t="s">
        <v>1150</v>
      </c>
    </row>
    <row r="298" spans="2:8" ht="52.5" thickBot="1">
      <c r="B298" s="42" t="s">
        <v>580</v>
      </c>
      <c r="C298" s="42"/>
      <c r="D298" s="42" t="s">
        <v>784</v>
      </c>
      <c r="E298" s="42" t="s">
        <v>732</v>
      </c>
      <c r="F298" s="42" t="s">
        <v>1152</v>
      </c>
      <c r="G298" s="42" t="s">
        <v>1148</v>
      </c>
      <c r="H298" s="42" t="s">
        <v>1153</v>
      </c>
    </row>
    <row r="299" spans="2:8" ht="65.25" thickBot="1">
      <c r="B299" s="42" t="s">
        <v>557</v>
      </c>
      <c r="C299" s="42"/>
      <c r="D299" s="42" t="s">
        <v>81</v>
      </c>
      <c r="E299" s="42" t="s">
        <v>732</v>
      </c>
      <c r="F299" s="42" t="s">
        <v>1036</v>
      </c>
      <c r="G299" s="42" t="s">
        <v>1163</v>
      </c>
      <c r="H299" s="42" t="s">
        <v>1164</v>
      </c>
    </row>
    <row r="300" spans="2:8" ht="52.5" thickBot="1">
      <c r="B300" s="42" t="s">
        <v>558</v>
      </c>
      <c r="C300" s="42"/>
      <c r="D300" s="42" t="s">
        <v>83</v>
      </c>
      <c r="E300" s="42" t="s">
        <v>732</v>
      </c>
      <c r="F300" s="42" t="s">
        <v>1036</v>
      </c>
      <c r="G300" s="42" t="s">
        <v>1051</v>
      </c>
      <c r="H300" s="42"/>
    </row>
    <row r="301" spans="2:8" ht="52.5" thickBot="1">
      <c r="B301" s="42" t="s">
        <v>559</v>
      </c>
      <c r="C301" s="42"/>
      <c r="D301" s="42" t="s">
        <v>84</v>
      </c>
      <c r="E301" s="42" t="s">
        <v>732</v>
      </c>
      <c r="F301" s="42" t="s">
        <v>1036</v>
      </c>
      <c r="G301" s="42" t="s">
        <v>1051</v>
      </c>
      <c r="H301" s="42"/>
    </row>
    <row r="302" spans="2:8" ht="65.25" thickBot="1">
      <c r="B302" s="42" t="s">
        <v>560</v>
      </c>
      <c r="C302" s="42"/>
      <c r="D302" s="42" t="s">
        <v>82</v>
      </c>
      <c r="E302" s="42" t="s">
        <v>732</v>
      </c>
      <c r="F302" s="42" t="s">
        <v>1036</v>
      </c>
      <c r="G302" s="42" t="s">
        <v>1157</v>
      </c>
      <c r="H302" s="42" t="s">
        <v>1163</v>
      </c>
    </row>
    <row r="303" spans="2:8" ht="103.5" thickBot="1">
      <c r="B303" s="42" t="s">
        <v>869</v>
      </c>
      <c r="C303" s="43" t="s">
        <v>1165</v>
      </c>
      <c r="D303" s="42" t="s">
        <v>81</v>
      </c>
      <c r="E303" s="42" t="s">
        <v>728</v>
      </c>
      <c r="F303" s="42" t="s">
        <v>1166</v>
      </c>
      <c r="G303" s="42" t="s">
        <v>1167</v>
      </c>
      <c r="H303" s="42" t="s">
        <v>1168</v>
      </c>
    </row>
    <row r="304" spans="2:8" ht="103.5" thickBot="1">
      <c r="B304" s="42" t="s">
        <v>870</v>
      </c>
      <c r="C304" s="43" t="s">
        <v>1169</v>
      </c>
      <c r="D304" s="42" t="s">
        <v>83</v>
      </c>
      <c r="E304" s="42" t="s">
        <v>728</v>
      </c>
      <c r="F304" s="42" t="s">
        <v>1051</v>
      </c>
      <c r="G304" s="42"/>
      <c r="H304" s="42" t="s">
        <v>1170</v>
      </c>
    </row>
    <row r="305" spans="2:8" ht="103.5" thickBot="1">
      <c r="B305" s="42" t="s">
        <v>871</v>
      </c>
      <c r="C305" s="43" t="s">
        <v>1171</v>
      </c>
      <c r="D305" s="42" t="s">
        <v>84</v>
      </c>
      <c r="E305" s="42" t="s">
        <v>728</v>
      </c>
      <c r="F305" s="42" t="s">
        <v>1051</v>
      </c>
      <c r="G305" s="42"/>
      <c r="H305" s="42" t="s">
        <v>1172</v>
      </c>
    </row>
    <row r="306" spans="2:8" ht="52.5" thickBot="1">
      <c r="B306" s="42" t="s">
        <v>561</v>
      </c>
      <c r="C306" s="42"/>
      <c r="D306" s="42" t="s">
        <v>634</v>
      </c>
      <c r="E306" s="42" t="s">
        <v>732</v>
      </c>
      <c r="F306" s="42" t="s">
        <v>1051</v>
      </c>
      <c r="G306" s="42" t="s">
        <v>953</v>
      </c>
      <c r="H306" s="42" t="s">
        <v>954</v>
      </c>
    </row>
    <row r="307" spans="2:8" ht="103.5" thickBot="1">
      <c r="B307" s="42" t="s">
        <v>729</v>
      </c>
      <c r="C307" s="42" t="s">
        <v>1173</v>
      </c>
      <c r="D307" s="42" t="s">
        <v>813</v>
      </c>
      <c r="E307" s="42" t="s">
        <v>728</v>
      </c>
      <c r="F307" s="42" t="s">
        <v>1051</v>
      </c>
      <c r="G307" s="42"/>
      <c r="H307" s="42" t="s">
        <v>1174</v>
      </c>
    </row>
    <row r="308" spans="2:8" ht="39.75" thickBot="1">
      <c r="B308" s="42" t="s">
        <v>568</v>
      </c>
      <c r="C308" s="42"/>
      <c r="D308" s="42" t="s">
        <v>771</v>
      </c>
      <c r="E308" s="42" t="s">
        <v>770</v>
      </c>
      <c r="F308" s="42" t="s">
        <v>952</v>
      </c>
      <c r="G308" s="42" t="s">
        <v>953</v>
      </c>
      <c r="H308" s="42" t="s">
        <v>954</v>
      </c>
    </row>
    <row r="309" spans="2:8" ht="52.5" thickBot="1">
      <c r="B309" s="42" t="s">
        <v>562</v>
      </c>
      <c r="C309" s="42"/>
      <c r="D309" s="42" t="s">
        <v>635</v>
      </c>
      <c r="E309" s="42" t="s">
        <v>732</v>
      </c>
      <c r="F309" s="42"/>
      <c r="G309" s="42" t="s">
        <v>953</v>
      </c>
      <c r="H309" s="42" t="s">
        <v>954</v>
      </c>
    </row>
    <row r="310" spans="2:8" ht="103.5" thickBot="1">
      <c r="B310" s="42" t="s">
        <v>730</v>
      </c>
      <c r="C310" s="42" t="s">
        <v>1175</v>
      </c>
      <c r="D310" s="42" t="s">
        <v>814</v>
      </c>
      <c r="E310" s="42" t="s">
        <v>728</v>
      </c>
      <c r="F310" s="42"/>
      <c r="G310" s="42"/>
      <c r="H310" s="42" t="s">
        <v>1176</v>
      </c>
    </row>
    <row r="311" spans="2:8" ht="103.5" thickBot="1">
      <c r="B311" s="42" t="s">
        <v>873</v>
      </c>
      <c r="C311" s="42" t="s">
        <v>1177</v>
      </c>
      <c r="D311" s="42" t="s">
        <v>874</v>
      </c>
      <c r="E311" s="42" t="s">
        <v>728</v>
      </c>
      <c r="F311" s="42" t="s">
        <v>768</v>
      </c>
      <c r="G311" s="42" t="s">
        <v>956</v>
      </c>
      <c r="H311" s="42" t="s">
        <v>1178</v>
      </c>
    </row>
    <row r="312" spans="2:8" ht="90.75" thickBot="1">
      <c r="B312" s="42" t="s">
        <v>571</v>
      </c>
      <c r="C312" s="43"/>
      <c r="D312" s="42" t="s">
        <v>775</v>
      </c>
      <c r="E312" s="42" t="s">
        <v>776</v>
      </c>
      <c r="F312" s="42" t="s">
        <v>1289</v>
      </c>
      <c r="G312" s="42" t="s">
        <v>1301</v>
      </c>
      <c r="H312" s="42" t="s">
        <v>1302</v>
      </c>
    </row>
    <row r="313" spans="2:8" ht="103.5" thickBot="1">
      <c r="B313" s="42" t="s">
        <v>731</v>
      </c>
      <c r="C313" s="42" t="s">
        <v>1179</v>
      </c>
      <c r="D313" s="42" t="s">
        <v>815</v>
      </c>
      <c r="E313" s="42" t="s">
        <v>728</v>
      </c>
      <c r="F313" s="42" t="s">
        <v>1152</v>
      </c>
      <c r="G313" s="42" t="s">
        <v>1180</v>
      </c>
      <c r="H313" s="42" t="s">
        <v>1286</v>
      </c>
    </row>
    <row r="314" spans="2:8" ht="39.75" thickBot="1">
      <c r="B314" s="42" t="s">
        <v>573</v>
      </c>
      <c r="C314" s="42"/>
      <c r="D314" s="42" t="s">
        <v>778</v>
      </c>
      <c r="E314" s="42" t="s">
        <v>768</v>
      </c>
      <c r="F314" s="42" t="s">
        <v>952</v>
      </c>
      <c r="G314" s="42" t="s">
        <v>959</v>
      </c>
      <c r="H314" s="42" t="s">
        <v>1181</v>
      </c>
    </row>
    <row r="315" spans="2:8" ht="90.75" thickBot="1">
      <c r="B315" s="42" t="s">
        <v>924</v>
      </c>
      <c r="C315" s="42" t="s">
        <v>1182</v>
      </c>
      <c r="D315" s="42" t="s">
        <v>925</v>
      </c>
      <c r="E315" s="42" t="s">
        <v>1183</v>
      </c>
      <c r="F315" s="42"/>
      <c r="G315" s="42"/>
      <c r="H315" s="42"/>
    </row>
    <row r="316" spans="2:8" ht="39.75" thickBot="1">
      <c r="B316" s="42" t="s">
        <v>572</v>
      </c>
      <c r="C316" s="42"/>
      <c r="D316" s="42" t="s">
        <v>777</v>
      </c>
      <c r="E316" s="42" t="s">
        <v>768</v>
      </c>
      <c r="F316" s="42" t="s">
        <v>952</v>
      </c>
      <c r="G316" s="42" t="s">
        <v>959</v>
      </c>
      <c r="H316" s="42"/>
    </row>
    <row r="317" spans="2:8" ht="90.75" thickBot="1">
      <c r="B317" s="42" t="s">
        <v>922</v>
      </c>
      <c r="C317" s="42" t="s">
        <v>1184</v>
      </c>
      <c r="D317" s="42" t="s">
        <v>923</v>
      </c>
      <c r="E317" s="42" t="s">
        <v>1185</v>
      </c>
      <c r="F317" s="42"/>
      <c r="G317" s="42"/>
      <c r="H317" s="42"/>
    </row>
    <row r="318" spans="2:8" ht="52.5" thickBot="1">
      <c r="B318" s="42" t="s">
        <v>418</v>
      </c>
      <c r="C318" s="42" t="s">
        <v>44</v>
      </c>
      <c r="D318" s="42" t="s">
        <v>88</v>
      </c>
      <c r="E318" s="42" t="s">
        <v>742</v>
      </c>
      <c r="F318" s="42" t="s">
        <v>768</v>
      </c>
      <c r="G318" s="42"/>
      <c r="H318" s="42"/>
    </row>
    <row r="319" spans="2:8" ht="78" thickBot="1">
      <c r="B319" s="42" t="s">
        <v>918</v>
      </c>
      <c r="C319" s="42" t="s">
        <v>1186</v>
      </c>
      <c r="D319" s="42" t="s">
        <v>88</v>
      </c>
      <c r="E319" s="42" t="s">
        <v>1187</v>
      </c>
      <c r="F319" s="42"/>
      <c r="G319" s="42"/>
      <c r="H319" s="42"/>
    </row>
    <row r="320" spans="2:8" ht="52.5" thickBot="1">
      <c r="B320" s="42" t="s">
        <v>416</v>
      </c>
      <c r="C320" s="43" t="s">
        <v>7</v>
      </c>
      <c r="D320" s="42" t="s">
        <v>80</v>
      </c>
      <c r="E320" s="42" t="s">
        <v>742</v>
      </c>
      <c r="F320" s="42" t="s">
        <v>768</v>
      </c>
      <c r="G320" s="42"/>
      <c r="H320" s="42"/>
    </row>
    <row r="321" spans="2:8" ht="78" thickBot="1">
      <c r="B321" s="42" t="s">
        <v>915</v>
      </c>
      <c r="C321" s="43" t="s">
        <v>1188</v>
      </c>
      <c r="D321" s="42" t="s">
        <v>80</v>
      </c>
      <c r="E321" s="42" t="s">
        <v>1187</v>
      </c>
      <c r="F321" s="42"/>
      <c r="G321" s="42"/>
      <c r="H321" s="42"/>
    </row>
    <row r="322" spans="2:8" ht="52.5" thickBot="1">
      <c r="B322" s="42" t="s">
        <v>420</v>
      </c>
      <c r="C322" s="43" t="s">
        <v>56</v>
      </c>
      <c r="D322" s="42" t="s">
        <v>90</v>
      </c>
      <c r="E322" s="42" t="s">
        <v>742</v>
      </c>
      <c r="F322" s="42" t="s">
        <v>768</v>
      </c>
      <c r="G322" s="42"/>
      <c r="H322" s="42"/>
    </row>
    <row r="323" spans="2:8" ht="78" thickBot="1">
      <c r="B323" s="42" t="s">
        <v>912</v>
      </c>
      <c r="C323" s="43" t="s">
        <v>1189</v>
      </c>
      <c r="D323" s="42" t="s">
        <v>90</v>
      </c>
      <c r="E323" s="42" t="s">
        <v>1187</v>
      </c>
      <c r="F323" s="42"/>
      <c r="G323" s="42"/>
      <c r="H323" s="42"/>
    </row>
    <row r="324" spans="2:8" ht="52.5" thickBot="1">
      <c r="B324" s="42" t="s">
        <v>419</v>
      </c>
      <c r="C324" s="42" t="s">
        <v>46</v>
      </c>
      <c r="D324" s="42" t="s">
        <v>89</v>
      </c>
      <c r="E324" s="42" t="s">
        <v>742</v>
      </c>
      <c r="F324" s="42" t="s">
        <v>768</v>
      </c>
      <c r="G324" s="42"/>
      <c r="H324" s="42"/>
    </row>
    <row r="325" spans="2:8" ht="78" thickBot="1">
      <c r="B325" s="42" t="s">
        <v>919</v>
      </c>
      <c r="C325" s="43" t="s">
        <v>1190</v>
      </c>
      <c r="D325" s="42" t="s">
        <v>89</v>
      </c>
      <c r="E325" s="42" t="s">
        <v>1187</v>
      </c>
      <c r="F325" s="42"/>
      <c r="G325" s="42"/>
      <c r="H325" s="42"/>
    </row>
    <row r="326" spans="2:8" ht="52.5" thickBot="1">
      <c r="B326" s="42" t="s">
        <v>582</v>
      </c>
      <c r="C326" s="43"/>
      <c r="D326" s="42" t="s">
        <v>639</v>
      </c>
      <c r="E326" s="42" t="s">
        <v>903</v>
      </c>
      <c r="F326" s="42" t="s">
        <v>1152</v>
      </c>
      <c r="G326" s="42" t="s">
        <v>953</v>
      </c>
      <c r="H326" s="42" t="s">
        <v>954</v>
      </c>
    </row>
    <row r="327" spans="2:8" ht="103.5" thickBot="1">
      <c r="B327" s="42" t="s">
        <v>881</v>
      </c>
      <c r="C327" s="43" t="s">
        <v>1191</v>
      </c>
      <c r="D327" s="42" t="s">
        <v>639</v>
      </c>
      <c r="E327" s="42" t="s">
        <v>906</v>
      </c>
      <c r="F327" s="42" t="s">
        <v>1152</v>
      </c>
      <c r="G327" s="42"/>
      <c r="H327" s="42" t="s">
        <v>1192</v>
      </c>
    </row>
    <row r="328" spans="2:8" ht="52.5" thickBot="1">
      <c r="B328" s="42" t="s">
        <v>581</v>
      </c>
      <c r="C328" s="43"/>
      <c r="D328" s="42" t="s">
        <v>638</v>
      </c>
      <c r="E328" s="42" t="s">
        <v>742</v>
      </c>
      <c r="F328" s="42" t="s">
        <v>1152</v>
      </c>
      <c r="G328" s="42"/>
      <c r="H328" s="42"/>
    </row>
    <row r="329" spans="2:8" ht="78" thickBot="1">
      <c r="B329" s="42" t="s">
        <v>917</v>
      </c>
      <c r="C329" s="42" t="s">
        <v>1193</v>
      </c>
      <c r="D329" s="42" t="s">
        <v>638</v>
      </c>
      <c r="E329" s="42" t="s">
        <v>1194</v>
      </c>
      <c r="F329" s="42"/>
      <c r="G329" s="42"/>
      <c r="H329" s="42"/>
    </row>
    <row r="330" spans="2:8" ht="52.5" thickBot="1">
      <c r="B330" s="42" t="s">
        <v>417</v>
      </c>
      <c r="C330" s="42" t="s">
        <v>29</v>
      </c>
      <c r="D330" s="42" t="s">
        <v>636</v>
      </c>
      <c r="E330" s="42" t="s">
        <v>732</v>
      </c>
      <c r="F330" s="42" t="s">
        <v>770</v>
      </c>
      <c r="G330" s="42" t="s">
        <v>953</v>
      </c>
      <c r="H330" s="42" t="s">
        <v>954</v>
      </c>
    </row>
    <row r="331" spans="2:8" ht="103.5" thickBot="1">
      <c r="B331" s="42" t="s">
        <v>910</v>
      </c>
      <c r="C331" s="42" t="s">
        <v>1195</v>
      </c>
      <c r="D331" s="42" t="s">
        <v>636</v>
      </c>
      <c r="E331" s="42" t="s">
        <v>1187</v>
      </c>
      <c r="F331" s="42"/>
      <c r="G331" s="42"/>
      <c r="H331" s="42" t="s">
        <v>1196</v>
      </c>
    </row>
    <row r="332" spans="2:8" ht="27" thickBot="1">
      <c r="B332" s="42" t="s">
        <v>909</v>
      </c>
      <c r="C332" s="42"/>
      <c r="D332" s="42" t="s">
        <v>914</v>
      </c>
      <c r="E332" s="42" t="s">
        <v>746</v>
      </c>
      <c r="F332" s="42"/>
      <c r="G332" s="42"/>
      <c r="H332" s="42"/>
    </row>
    <row r="333" spans="2:8" ht="52.5" thickBot="1">
      <c r="B333" s="42" t="s">
        <v>439</v>
      </c>
      <c r="C333" s="43"/>
      <c r="D333" s="42" t="s">
        <v>690</v>
      </c>
      <c r="E333" s="42" t="s">
        <v>747</v>
      </c>
      <c r="F333" s="42" t="s">
        <v>1197</v>
      </c>
      <c r="G333" s="42" t="s">
        <v>1198</v>
      </c>
      <c r="H333" s="42" t="s">
        <v>1199</v>
      </c>
    </row>
    <row r="334" spans="2:8" ht="27" thickBot="1">
      <c r="B334" s="42" t="s">
        <v>940</v>
      </c>
      <c r="C334" s="42"/>
      <c r="D334" s="42" t="s">
        <v>941</v>
      </c>
      <c r="E334" s="42" t="s">
        <v>747</v>
      </c>
      <c r="F334" s="42" t="s">
        <v>1200</v>
      </c>
      <c r="G334" s="42"/>
      <c r="H334" s="42"/>
    </row>
    <row r="335" spans="2:8" ht="52.5" thickBot="1">
      <c r="B335" s="42" t="s">
        <v>443</v>
      </c>
      <c r="C335" s="42"/>
      <c r="D335" s="42" t="s">
        <v>694</v>
      </c>
      <c r="E335" s="42" t="s">
        <v>816</v>
      </c>
      <c r="F335" s="42" t="s">
        <v>1201</v>
      </c>
      <c r="G335" s="42" t="s">
        <v>1019</v>
      </c>
      <c r="H335" s="42" t="s">
        <v>1202</v>
      </c>
    </row>
    <row r="336" spans="2:8" ht="52.5" thickBot="1">
      <c r="B336" s="42" t="s">
        <v>444</v>
      </c>
      <c r="C336" s="42"/>
      <c r="D336" s="42" t="s">
        <v>147</v>
      </c>
      <c r="E336" s="42" t="s">
        <v>816</v>
      </c>
      <c r="F336" s="42" t="s">
        <v>1201</v>
      </c>
      <c r="G336" s="42" t="s">
        <v>1019</v>
      </c>
      <c r="H336" s="42" t="s">
        <v>1202</v>
      </c>
    </row>
    <row r="337" spans="2:8" ht="52.5" thickBot="1">
      <c r="B337" s="42" t="s">
        <v>447</v>
      </c>
      <c r="C337" s="42"/>
      <c r="D337" s="42" t="s">
        <v>149</v>
      </c>
      <c r="E337" s="42" t="s">
        <v>816</v>
      </c>
      <c r="F337" s="42" t="s">
        <v>1203</v>
      </c>
      <c r="G337" s="42"/>
      <c r="H337" s="42"/>
    </row>
    <row r="338" spans="2:8" ht="65.25" thickBot="1">
      <c r="B338" s="42" t="s">
        <v>603</v>
      </c>
      <c r="C338" s="42" t="s">
        <v>1204</v>
      </c>
      <c r="D338" s="42" t="s">
        <v>711</v>
      </c>
      <c r="E338" s="42" t="s">
        <v>830</v>
      </c>
      <c r="F338" s="42" t="s">
        <v>1205</v>
      </c>
      <c r="G338" s="42" t="s">
        <v>1019</v>
      </c>
      <c r="H338" s="42" t="s">
        <v>1206</v>
      </c>
    </row>
    <row r="339" spans="2:8" ht="15.75" thickBot="1">
      <c r="B339" s="42" t="s">
        <v>473</v>
      </c>
      <c r="C339" s="42"/>
      <c r="D339" s="42" t="s">
        <v>171</v>
      </c>
      <c r="E339" s="42"/>
      <c r="F339" s="42"/>
      <c r="G339" s="42"/>
      <c r="H339" s="42"/>
    </row>
    <row r="340" spans="2:8" ht="39.75" thickBot="1">
      <c r="B340" s="42" t="s">
        <v>606</v>
      </c>
      <c r="C340" s="42" t="s">
        <v>1207</v>
      </c>
      <c r="D340" s="42" t="s">
        <v>713</v>
      </c>
      <c r="E340" s="42" t="s">
        <v>830</v>
      </c>
      <c r="F340" s="42"/>
      <c r="G340" s="42" t="s">
        <v>953</v>
      </c>
      <c r="H340" s="42" t="s">
        <v>954</v>
      </c>
    </row>
    <row r="341" spans="2:8" ht="39.75" thickBot="1">
      <c r="B341" s="42" t="s">
        <v>605</v>
      </c>
      <c r="C341" s="42" t="s">
        <v>1208</v>
      </c>
      <c r="D341" s="42" t="s">
        <v>710</v>
      </c>
      <c r="E341" s="42" t="s">
        <v>830</v>
      </c>
      <c r="F341" s="42"/>
      <c r="G341" s="42"/>
      <c r="H341" s="42"/>
    </row>
    <row r="342" spans="2:8" ht="39.75" thickBot="1">
      <c r="B342" s="42" t="s">
        <v>604</v>
      </c>
      <c r="C342" s="42" t="s">
        <v>1209</v>
      </c>
      <c r="D342" s="42" t="s">
        <v>712</v>
      </c>
      <c r="E342" s="42" t="s">
        <v>830</v>
      </c>
      <c r="F342" s="42"/>
      <c r="G342" s="42"/>
      <c r="H342" s="42"/>
    </row>
    <row r="343" spans="2:8" ht="52.5" thickBot="1">
      <c r="B343" s="42" t="s">
        <v>817</v>
      </c>
      <c r="C343" s="42" t="s">
        <v>1210</v>
      </c>
      <c r="D343" s="42" t="s">
        <v>818</v>
      </c>
      <c r="E343" s="42" t="s">
        <v>819</v>
      </c>
      <c r="F343" s="42" t="s">
        <v>1211</v>
      </c>
      <c r="G343" s="42" t="s">
        <v>1212</v>
      </c>
      <c r="H343" s="42"/>
    </row>
    <row r="344" spans="2:8" ht="39.75" thickBot="1">
      <c r="B344" s="42" t="s">
        <v>943</v>
      </c>
      <c r="C344" s="42" t="s">
        <v>1267</v>
      </c>
      <c r="D344" s="42" t="s">
        <v>944</v>
      </c>
      <c r="E344" s="42" t="s">
        <v>947</v>
      </c>
      <c r="F344" s="42"/>
      <c r="G344" s="42"/>
      <c r="H344" s="42"/>
    </row>
    <row r="345" spans="2:8" ht="39.75" thickBot="1">
      <c r="B345" s="42" t="s">
        <v>945</v>
      </c>
      <c r="C345" s="42" t="s">
        <v>1268</v>
      </c>
      <c r="D345" s="42" t="s">
        <v>946</v>
      </c>
      <c r="E345" s="42" t="s">
        <v>947</v>
      </c>
      <c r="F345" s="42"/>
      <c r="G345" s="42"/>
      <c r="H345" s="42"/>
    </row>
    <row r="346" spans="2:8" ht="39.75" thickBot="1">
      <c r="B346" s="42" t="s">
        <v>440</v>
      </c>
      <c r="C346" s="42" t="s">
        <v>1282</v>
      </c>
      <c r="D346" s="42" t="s">
        <v>691</v>
      </c>
      <c r="E346" s="42" t="s">
        <v>747</v>
      </c>
      <c r="F346" s="42"/>
      <c r="G346" s="42"/>
      <c r="H346" s="42"/>
    </row>
    <row r="347" spans="2:8" ht="39.75" thickBot="1">
      <c r="B347" s="42" t="s">
        <v>441</v>
      </c>
      <c r="C347" s="42" t="s">
        <v>3</v>
      </c>
      <c r="D347" s="42" t="s">
        <v>692</v>
      </c>
      <c r="E347" s="42" t="s">
        <v>747</v>
      </c>
      <c r="F347" s="42"/>
      <c r="G347" s="42"/>
      <c r="H347" s="42"/>
    </row>
    <row r="348" spans="2:8" ht="27" thickBot="1">
      <c r="B348" s="42" t="s">
        <v>442</v>
      </c>
      <c r="C348" s="42"/>
      <c r="D348" s="42" t="s">
        <v>693</v>
      </c>
      <c r="E348" s="42" t="s">
        <v>747</v>
      </c>
      <c r="F348" s="42" t="s">
        <v>1201</v>
      </c>
      <c r="G348" s="42"/>
      <c r="H348" s="42"/>
    </row>
    <row r="349" spans="2:8" ht="52.5" thickBot="1">
      <c r="B349" s="42" t="s">
        <v>821</v>
      </c>
      <c r="C349" s="42"/>
      <c r="D349" s="42" t="s">
        <v>822</v>
      </c>
      <c r="E349" s="42" t="s">
        <v>823</v>
      </c>
      <c r="F349" s="42" t="s">
        <v>1214</v>
      </c>
      <c r="G349" s="42"/>
      <c r="H349" s="42"/>
    </row>
    <row r="350" spans="2:8" ht="52.5" thickBot="1">
      <c r="B350" s="42" t="s">
        <v>462</v>
      </c>
      <c r="C350" s="42"/>
      <c r="D350" s="42" t="s">
        <v>161</v>
      </c>
      <c r="E350" s="42" t="s">
        <v>823</v>
      </c>
      <c r="F350" s="42" t="s">
        <v>1214</v>
      </c>
      <c r="G350" s="42"/>
      <c r="H350" s="42"/>
    </row>
    <row r="351" spans="2:8" ht="52.5" thickBot="1">
      <c r="B351" s="42" t="s">
        <v>463</v>
      </c>
      <c r="C351" s="43"/>
      <c r="D351" s="42" t="s">
        <v>162</v>
      </c>
      <c r="E351" s="42" t="s">
        <v>823</v>
      </c>
      <c r="F351" s="42" t="s">
        <v>1214</v>
      </c>
      <c r="G351" s="42"/>
      <c r="H351" s="42"/>
    </row>
    <row r="352" spans="2:8" ht="52.5" thickBot="1">
      <c r="B352" s="42" t="s">
        <v>464</v>
      </c>
      <c r="C352" s="43"/>
      <c r="D352" s="42" t="s">
        <v>163</v>
      </c>
      <c r="E352" s="42" t="s">
        <v>824</v>
      </c>
      <c r="F352" s="42" t="s">
        <v>1002</v>
      </c>
      <c r="G352" s="42" t="s">
        <v>1215</v>
      </c>
      <c r="H352" s="42" t="s">
        <v>1202</v>
      </c>
    </row>
    <row r="353" spans="2:8" ht="27" thickBot="1">
      <c r="B353" s="42" t="s">
        <v>465</v>
      </c>
      <c r="C353" s="43"/>
      <c r="D353" s="42" t="s">
        <v>164</v>
      </c>
      <c r="E353" s="42" t="s">
        <v>825</v>
      </c>
      <c r="F353" s="42"/>
      <c r="G353" s="42"/>
      <c r="H353" s="42"/>
    </row>
    <row r="354" spans="2:8" ht="52.5" thickBot="1">
      <c r="B354" s="42" t="s">
        <v>938</v>
      </c>
      <c r="C354" s="42"/>
      <c r="D354" s="42" t="s">
        <v>939</v>
      </c>
      <c r="E354" s="42" t="s">
        <v>747</v>
      </c>
      <c r="F354" s="42" t="s">
        <v>1213</v>
      </c>
      <c r="G354" s="42"/>
      <c r="H354" s="42"/>
    </row>
    <row r="355" spans="2:8" ht="52.5" thickBot="1">
      <c r="B355" s="42" t="s">
        <v>466</v>
      </c>
      <c r="C355" s="43"/>
      <c r="D355" s="42" t="s">
        <v>165</v>
      </c>
      <c r="E355" s="42" t="s">
        <v>826</v>
      </c>
      <c r="F355" s="42" t="s">
        <v>1214</v>
      </c>
      <c r="G355" s="42"/>
      <c r="H355" s="42"/>
    </row>
    <row r="356" spans="2:8" ht="52.5" thickBot="1">
      <c r="B356" s="42" t="s">
        <v>467</v>
      </c>
      <c r="C356" s="42"/>
      <c r="D356" s="42" t="s">
        <v>166</v>
      </c>
      <c r="E356" s="42" t="s">
        <v>826</v>
      </c>
      <c r="F356" s="42"/>
      <c r="G356" s="42" t="s">
        <v>953</v>
      </c>
      <c r="H356" s="42" t="s">
        <v>954</v>
      </c>
    </row>
    <row r="357" spans="2:8" ht="52.5" thickBot="1">
      <c r="B357" s="42" t="s">
        <v>468</v>
      </c>
      <c r="C357" s="42"/>
      <c r="D357" s="42" t="s">
        <v>167</v>
      </c>
      <c r="E357" s="42" t="s">
        <v>826</v>
      </c>
      <c r="F357" s="42" t="s">
        <v>1214</v>
      </c>
      <c r="G357" s="42" t="s">
        <v>953</v>
      </c>
      <c r="H357" s="42" t="s">
        <v>954</v>
      </c>
    </row>
    <row r="358" spans="2:8" ht="52.5" thickBot="1">
      <c r="B358" s="42" t="s">
        <v>469</v>
      </c>
      <c r="C358" s="43"/>
      <c r="D358" s="42" t="s">
        <v>168</v>
      </c>
      <c r="E358" s="42" t="s">
        <v>826</v>
      </c>
      <c r="F358" s="42" t="s">
        <v>1214</v>
      </c>
      <c r="G358" s="42" t="s">
        <v>953</v>
      </c>
      <c r="H358" s="42" t="s">
        <v>954</v>
      </c>
    </row>
    <row r="359" spans="2:8" ht="52.5" thickBot="1">
      <c r="B359" s="42" t="s">
        <v>470</v>
      </c>
      <c r="C359" s="43"/>
      <c r="D359" s="42" t="s">
        <v>827</v>
      </c>
      <c r="E359" s="42" t="s">
        <v>826</v>
      </c>
      <c r="F359" s="42" t="s">
        <v>1214</v>
      </c>
      <c r="G359" s="42"/>
      <c r="H359" s="42" t="s">
        <v>1216</v>
      </c>
    </row>
    <row r="360" spans="2:8" ht="52.5" thickBot="1">
      <c r="B360" s="42" t="s">
        <v>471</v>
      </c>
      <c r="C360" s="43"/>
      <c r="D360" s="42" t="s">
        <v>169</v>
      </c>
      <c r="E360" s="42" t="s">
        <v>828</v>
      </c>
      <c r="F360" s="42"/>
      <c r="G360" s="42"/>
      <c r="H360" s="42"/>
    </row>
    <row r="361" spans="2:8" ht="52.5" thickBot="1">
      <c r="B361" s="42" t="s">
        <v>472</v>
      </c>
      <c r="C361" s="43"/>
      <c r="D361" s="42" t="s">
        <v>170</v>
      </c>
      <c r="E361" s="42" t="s">
        <v>829</v>
      </c>
      <c r="F361" s="42" t="s">
        <v>1217</v>
      </c>
      <c r="G361" s="42"/>
      <c r="H361" s="42"/>
    </row>
    <row r="362" spans="2:8" ht="27" thickBot="1">
      <c r="B362" s="42" t="s">
        <v>448</v>
      </c>
      <c r="C362" s="42"/>
      <c r="D362" s="42" t="s">
        <v>150</v>
      </c>
      <c r="E362" s="42" t="s">
        <v>747</v>
      </c>
      <c r="F362" s="42"/>
      <c r="G362" s="42"/>
      <c r="H362" s="42"/>
    </row>
    <row r="363" spans="2:8" ht="52.5" thickBot="1">
      <c r="B363" s="42" t="s">
        <v>706</v>
      </c>
      <c r="C363" s="42"/>
      <c r="D363" s="42" t="s">
        <v>707</v>
      </c>
      <c r="E363" s="42" t="s">
        <v>830</v>
      </c>
      <c r="F363" s="42" t="s">
        <v>1218</v>
      </c>
      <c r="G363" s="42"/>
      <c r="H363" s="42"/>
    </row>
    <row r="364" spans="2:8" ht="27" thickBot="1">
      <c r="B364" s="42" t="s">
        <v>708</v>
      </c>
      <c r="C364" s="42"/>
      <c r="D364" s="42" t="s">
        <v>709</v>
      </c>
      <c r="E364" s="42" t="s">
        <v>831</v>
      </c>
      <c r="F364" s="42"/>
      <c r="G364" s="42"/>
      <c r="H364" s="42"/>
    </row>
    <row r="365" spans="2:8" ht="39.75" thickBot="1">
      <c r="B365" s="42" t="s">
        <v>832</v>
      </c>
      <c r="C365" s="42"/>
      <c r="D365" s="42" t="s">
        <v>833</v>
      </c>
      <c r="E365" s="42" t="s">
        <v>834</v>
      </c>
      <c r="F365" s="42"/>
      <c r="G365" s="42" t="s">
        <v>953</v>
      </c>
      <c r="H365" s="42" t="s">
        <v>954</v>
      </c>
    </row>
    <row r="366" spans="2:8" ht="27" thickBot="1">
      <c r="B366" s="42" t="s">
        <v>474</v>
      </c>
      <c r="C366" s="42"/>
      <c r="D366" s="42" t="s">
        <v>172</v>
      </c>
      <c r="E366" s="42" t="s">
        <v>747</v>
      </c>
      <c r="F366" s="42"/>
      <c r="G366" s="42"/>
      <c r="H366" s="42"/>
    </row>
    <row r="367" spans="2:8" ht="52.5" thickBot="1">
      <c r="B367" s="42" t="s">
        <v>475</v>
      </c>
      <c r="C367" s="42"/>
      <c r="D367" s="42" t="s">
        <v>699</v>
      </c>
      <c r="E367" s="42" t="s">
        <v>816</v>
      </c>
      <c r="F367" s="42" t="s">
        <v>1219</v>
      </c>
      <c r="G367" s="42"/>
      <c r="H367" s="42"/>
    </row>
    <row r="368" spans="2:8" ht="27" thickBot="1">
      <c r="B368" s="42" t="s">
        <v>476</v>
      </c>
      <c r="C368" s="43"/>
      <c r="D368" s="42" t="s">
        <v>173</v>
      </c>
      <c r="E368" s="42" t="s">
        <v>908</v>
      </c>
      <c r="F368" s="42"/>
      <c r="G368" s="42"/>
      <c r="H368" s="42"/>
    </row>
    <row r="369" spans="2:8" ht="27" thickBot="1">
      <c r="B369" s="42" t="s">
        <v>477</v>
      </c>
      <c r="C369" s="42"/>
      <c r="D369" s="42" t="s">
        <v>700</v>
      </c>
      <c r="E369" s="42" t="s">
        <v>908</v>
      </c>
      <c r="F369" s="42"/>
      <c r="G369" s="42"/>
      <c r="H369" s="42"/>
    </row>
    <row r="370" spans="2:8" ht="39.75" thickBot="1">
      <c r="B370" s="42" t="s">
        <v>478</v>
      </c>
      <c r="C370" s="42"/>
      <c r="D370" s="42" t="s">
        <v>174</v>
      </c>
      <c r="E370" s="42" t="s">
        <v>835</v>
      </c>
      <c r="F370" s="42" t="s">
        <v>1220</v>
      </c>
      <c r="G370" s="42" t="s">
        <v>953</v>
      </c>
      <c r="H370" s="42" t="s">
        <v>954</v>
      </c>
    </row>
    <row r="371" spans="2:8" ht="39.75" thickBot="1">
      <c r="B371" s="42" t="s">
        <v>479</v>
      </c>
      <c r="C371" s="42" t="s">
        <v>54</v>
      </c>
      <c r="D371" s="42" t="s">
        <v>701</v>
      </c>
      <c r="E371" s="42" t="s">
        <v>747</v>
      </c>
      <c r="F371" s="42"/>
      <c r="G371" s="42" t="s">
        <v>953</v>
      </c>
      <c r="H371" s="42" t="s">
        <v>954</v>
      </c>
    </row>
    <row r="372" spans="2:8" ht="52.5" thickBot="1">
      <c r="B372" s="42" t="s">
        <v>450</v>
      </c>
      <c r="C372" s="42"/>
      <c r="D372" s="42" t="s">
        <v>697</v>
      </c>
      <c r="E372" s="42" t="s">
        <v>816</v>
      </c>
      <c r="F372" s="42" t="s">
        <v>1221</v>
      </c>
      <c r="G372" s="42" t="s">
        <v>953</v>
      </c>
      <c r="H372" s="42" t="s">
        <v>954</v>
      </c>
    </row>
    <row r="373" spans="2:8" ht="52.5" thickBot="1">
      <c r="B373" s="42" t="s">
        <v>451</v>
      </c>
      <c r="C373" s="42"/>
      <c r="D373" s="42" t="s">
        <v>152</v>
      </c>
      <c r="E373" s="42" t="s">
        <v>816</v>
      </c>
      <c r="F373" s="42" t="s">
        <v>1221</v>
      </c>
      <c r="G373" s="42" t="s">
        <v>953</v>
      </c>
      <c r="H373" s="42" t="s">
        <v>954</v>
      </c>
    </row>
    <row r="374" spans="2:8" ht="52.5" thickBot="1">
      <c r="B374" s="42" t="s">
        <v>452</v>
      </c>
      <c r="C374" s="43"/>
      <c r="D374" s="42" t="s">
        <v>153</v>
      </c>
      <c r="E374" s="42" t="s">
        <v>816</v>
      </c>
      <c r="F374" s="42" t="s">
        <v>1221</v>
      </c>
      <c r="G374" s="42" t="s">
        <v>953</v>
      </c>
      <c r="H374" s="42" t="s">
        <v>954</v>
      </c>
    </row>
    <row r="375" spans="2:8" ht="52.5" thickBot="1">
      <c r="B375" s="42" t="s">
        <v>453</v>
      </c>
      <c r="C375" s="42"/>
      <c r="D375" s="42" t="s">
        <v>154</v>
      </c>
      <c r="E375" s="42" t="s">
        <v>816</v>
      </c>
      <c r="F375" s="42" t="s">
        <v>1221</v>
      </c>
      <c r="G375" s="42" t="s">
        <v>953</v>
      </c>
      <c r="H375" s="42" t="s">
        <v>954</v>
      </c>
    </row>
    <row r="376" spans="2:8" ht="52.5" thickBot="1">
      <c r="B376" s="42" t="s">
        <v>454</v>
      </c>
      <c r="C376" s="42"/>
      <c r="D376" s="42" t="s">
        <v>155</v>
      </c>
      <c r="E376" s="42" t="s">
        <v>816</v>
      </c>
      <c r="F376" s="42" t="s">
        <v>1221</v>
      </c>
      <c r="G376" s="42" t="s">
        <v>953</v>
      </c>
      <c r="H376" s="42" t="s">
        <v>954</v>
      </c>
    </row>
    <row r="377" spans="2:8" ht="39.75" thickBot="1">
      <c r="B377" s="42" t="s">
        <v>455</v>
      </c>
      <c r="C377" s="42"/>
      <c r="D377" s="42" t="s">
        <v>151</v>
      </c>
      <c r="E377" s="42"/>
      <c r="F377" s="42"/>
      <c r="G377" s="42" t="s">
        <v>953</v>
      </c>
      <c r="H377" s="42" t="s">
        <v>954</v>
      </c>
    </row>
    <row r="378" spans="2:8" ht="52.5" thickBot="1">
      <c r="B378" s="42" t="s">
        <v>456</v>
      </c>
      <c r="C378" s="42"/>
      <c r="D378" s="42" t="s">
        <v>698</v>
      </c>
      <c r="E378" s="42" t="s">
        <v>816</v>
      </c>
      <c r="F378" s="42" t="s">
        <v>1222</v>
      </c>
      <c r="G378" s="42" t="s">
        <v>953</v>
      </c>
      <c r="H378" s="42" t="s">
        <v>954</v>
      </c>
    </row>
    <row r="379" spans="2:8" ht="52.5" thickBot="1">
      <c r="B379" s="42" t="s">
        <v>457</v>
      </c>
      <c r="C379" s="42"/>
      <c r="D379" s="42" t="s">
        <v>156</v>
      </c>
      <c r="E379" s="42" t="s">
        <v>816</v>
      </c>
      <c r="F379" s="42" t="s">
        <v>1222</v>
      </c>
      <c r="G379" s="42" t="s">
        <v>953</v>
      </c>
      <c r="H379" s="42" t="s">
        <v>954</v>
      </c>
    </row>
    <row r="380" spans="2:8" ht="52.5" thickBot="1">
      <c r="B380" s="42" t="s">
        <v>458</v>
      </c>
      <c r="C380" s="42"/>
      <c r="D380" s="42" t="s">
        <v>157</v>
      </c>
      <c r="E380" s="42" t="s">
        <v>816</v>
      </c>
      <c r="F380" s="42" t="s">
        <v>1222</v>
      </c>
      <c r="G380" s="42" t="s">
        <v>953</v>
      </c>
      <c r="H380" s="42" t="s">
        <v>954</v>
      </c>
    </row>
    <row r="381" spans="2:8" ht="52.5" thickBot="1">
      <c r="B381" s="42" t="s">
        <v>459</v>
      </c>
      <c r="C381" s="42"/>
      <c r="D381" s="42" t="s">
        <v>158</v>
      </c>
      <c r="E381" s="42" t="s">
        <v>816</v>
      </c>
      <c r="F381" s="42" t="s">
        <v>1222</v>
      </c>
      <c r="G381" s="42" t="s">
        <v>953</v>
      </c>
      <c r="H381" s="42" t="s">
        <v>954</v>
      </c>
    </row>
    <row r="382" spans="2:8" ht="52.5" thickBot="1">
      <c r="B382" s="42" t="s">
        <v>460</v>
      </c>
      <c r="C382" s="42"/>
      <c r="D382" s="42" t="s">
        <v>159</v>
      </c>
      <c r="E382" s="42" t="s">
        <v>816</v>
      </c>
      <c r="F382" s="42" t="s">
        <v>1222</v>
      </c>
      <c r="G382" s="42" t="s">
        <v>953</v>
      </c>
      <c r="H382" s="42" t="s">
        <v>954</v>
      </c>
    </row>
    <row r="383" spans="2:8" ht="27" thickBot="1">
      <c r="B383" s="42" t="s">
        <v>480</v>
      </c>
      <c r="C383" s="42" t="s">
        <v>57</v>
      </c>
      <c r="D383" s="42" t="s">
        <v>702</v>
      </c>
      <c r="E383" s="42" t="s">
        <v>836</v>
      </c>
      <c r="F383" s="42"/>
      <c r="G383" s="42" t="s">
        <v>1019</v>
      </c>
      <c r="H383" s="42" t="s">
        <v>1201</v>
      </c>
    </row>
    <row r="384" spans="2:8" ht="27" thickBot="1">
      <c r="B384" s="42" t="s">
        <v>449</v>
      </c>
      <c r="C384" s="42"/>
      <c r="D384" s="42" t="s">
        <v>696</v>
      </c>
      <c r="E384" s="42" t="s">
        <v>747</v>
      </c>
      <c r="F384" s="42" t="s">
        <v>1223</v>
      </c>
      <c r="G384" s="42"/>
      <c r="H384" s="42"/>
    </row>
    <row r="385" spans="2:8" ht="27" thickBot="1">
      <c r="B385" s="42" t="s">
        <v>445</v>
      </c>
      <c r="C385" s="42"/>
      <c r="D385" s="42" t="s">
        <v>148</v>
      </c>
      <c r="E385" s="42" t="s">
        <v>746</v>
      </c>
      <c r="F385" s="42"/>
      <c r="G385" s="42"/>
      <c r="H385" s="42"/>
    </row>
    <row r="386" spans="2:8" ht="27" thickBot="1">
      <c r="B386" s="42" t="s">
        <v>446</v>
      </c>
      <c r="C386" s="42"/>
      <c r="D386" s="42" t="s">
        <v>695</v>
      </c>
      <c r="E386" s="42" t="s">
        <v>747</v>
      </c>
      <c r="F386" s="42" t="s">
        <v>1201</v>
      </c>
      <c r="G386" s="42"/>
      <c r="H386" s="42"/>
    </row>
    <row r="387" spans="2:8" ht="52.5" thickBot="1">
      <c r="B387" s="42" t="s">
        <v>461</v>
      </c>
      <c r="C387" s="42"/>
      <c r="D387" s="42" t="s">
        <v>160</v>
      </c>
      <c r="E387" s="42" t="s">
        <v>820</v>
      </c>
      <c r="F387" s="42" t="s">
        <v>1224</v>
      </c>
      <c r="G387" s="42" t="s">
        <v>1225</v>
      </c>
      <c r="H387" s="42" t="s">
        <v>1226</v>
      </c>
    </row>
    <row r="388" spans="2:8" ht="52.5" thickBot="1">
      <c r="B388" s="42" t="s">
        <v>543</v>
      </c>
      <c r="C388" s="42"/>
      <c r="D388" s="42" t="s">
        <v>217</v>
      </c>
      <c r="E388" s="42" t="s">
        <v>744</v>
      </c>
      <c r="F388" s="42"/>
      <c r="G388" s="42"/>
      <c r="H388" s="42"/>
    </row>
    <row r="389" spans="2:8" ht="27" thickBot="1">
      <c r="B389" s="42" t="s">
        <v>553</v>
      </c>
      <c r="C389" s="43"/>
      <c r="D389" s="42" t="s">
        <v>221</v>
      </c>
      <c r="E389" s="42" t="s">
        <v>749</v>
      </c>
      <c r="F389" s="42"/>
      <c r="G389" s="42"/>
      <c r="H389" s="42"/>
    </row>
    <row r="390" spans="2:8" ht="15.75" thickBot="1">
      <c r="B390" s="42" t="s">
        <v>544</v>
      </c>
      <c r="C390" s="42"/>
      <c r="D390" s="42" t="s">
        <v>218</v>
      </c>
      <c r="E390" s="42"/>
      <c r="F390" s="42"/>
      <c r="G390" s="42"/>
      <c r="H390" s="42"/>
    </row>
    <row r="391" spans="2:8" ht="52.5" thickBot="1">
      <c r="B391" s="42" t="s">
        <v>548</v>
      </c>
      <c r="C391" s="43"/>
      <c r="D391" s="42" t="s">
        <v>684</v>
      </c>
      <c r="E391" s="42" t="s">
        <v>744</v>
      </c>
      <c r="F391" s="42"/>
      <c r="G391" s="42"/>
      <c r="H391" s="42"/>
    </row>
    <row r="392" spans="2:8" ht="15.75" thickBot="1">
      <c r="B392" s="42" t="s">
        <v>542</v>
      </c>
      <c r="C392" s="43"/>
      <c r="D392" s="42" t="s">
        <v>216</v>
      </c>
      <c r="E392" s="42"/>
      <c r="F392" s="42"/>
      <c r="G392" s="42"/>
      <c r="H392" s="42"/>
    </row>
    <row r="393" spans="2:8" ht="15.75" thickBot="1">
      <c r="B393" s="42" t="s">
        <v>549</v>
      </c>
      <c r="C393" s="43"/>
      <c r="D393" s="42" t="s">
        <v>220</v>
      </c>
      <c r="E393" s="42"/>
      <c r="F393" s="42"/>
      <c r="G393" s="42"/>
      <c r="H393" s="42"/>
    </row>
    <row r="394" spans="2:8" ht="52.5" thickBot="1">
      <c r="B394" s="42" t="s">
        <v>554</v>
      </c>
      <c r="C394" s="43"/>
      <c r="D394" s="42" t="s">
        <v>688</v>
      </c>
      <c r="E394" s="42" t="s">
        <v>812</v>
      </c>
      <c r="F394" s="42" t="s">
        <v>1227</v>
      </c>
      <c r="G394" s="42"/>
      <c r="H394" s="42"/>
    </row>
    <row r="395" spans="2:8" ht="52.5" thickBot="1">
      <c r="B395" s="42" t="s">
        <v>546</v>
      </c>
      <c r="C395" s="42"/>
      <c r="D395" s="42" t="s">
        <v>682</v>
      </c>
      <c r="E395" s="42" t="s">
        <v>811</v>
      </c>
      <c r="F395" s="42"/>
      <c r="G395" s="42" t="s">
        <v>953</v>
      </c>
      <c r="H395" s="42" t="s">
        <v>954</v>
      </c>
    </row>
    <row r="396" spans="2:8" ht="52.5" thickBot="1">
      <c r="B396" s="42" t="s">
        <v>547</v>
      </c>
      <c r="C396" s="42"/>
      <c r="D396" s="42" t="s">
        <v>683</v>
      </c>
      <c r="E396" s="42" t="s">
        <v>811</v>
      </c>
      <c r="F396" s="42"/>
      <c r="G396" s="42" t="s">
        <v>953</v>
      </c>
      <c r="H396" s="42" t="s">
        <v>954</v>
      </c>
    </row>
    <row r="397" spans="2:8" ht="27" thickBot="1">
      <c r="B397" s="42" t="s">
        <v>545</v>
      </c>
      <c r="C397" s="42"/>
      <c r="D397" s="42" t="s">
        <v>219</v>
      </c>
      <c r="E397" s="42" t="s">
        <v>810</v>
      </c>
      <c r="F397" s="42"/>
      <c r="G397" s="42"/>
      <c r="H397" s="42"/>
    </row>
    <row r="398" spans="2:8" ht="52.5" thickBot="1">
      <c r="B398" s="42" t="s">
        <v>555</v>
      </c>
      <c r="C398" s="42"/>
      <c r="D398" s="42" t="s">
        <v>689</v>
      </c>
      <c r="E398" s="42" t="s">
        <v>744</v>
      </c>
      <c r="F398" s="42"/>
      <c r="G398" s="42"/>
      <c r="H398" s="42"/>
    </row>
    <row r="399" spans="2:8" ht="52.5" thickBot="1">
      <c r="B399" s="42" t="s">
        <v>552</v>
      </c>
      <c r="C399" s="43"/>
      <c r="D399" s="42" t="s">
        <v>687</v>
      </c>
      <c r="E399" s="42" t="s">
        <v>744</v>
      </c>
      <c r="F399" s="42"/>
      <c r="G399" s="42"/>
      <c r="H399" s="42"/>
    </row>
    <row r="400" spans="2:8" ht="60">
      <c r="B400" t="s">
        <v>551</v>
      </c>
      <c r="C400" s="39"/>
      <c r="D400" t="s">
        <v>686</v>
      </c>
      <c r="E400" s="37" t="s">
        <v>744</v>
      </c>
      <c r="F400" s="37" t="s">
        <v>1228</v>
      </c>
      <c r="G400" s="37"/>
      <c r="H400" s="37"/>
    </row>
    <row r="401" spans="2:8" ht="60">
      <c r="B401" t="s">
        <v>550</v>
      </c>
      <c r="D401" t="s">
        <v>685</v>
      </c>
      <c r="E401" s="37" t="s">
        <v>744</v>
      </c>
      <c r="F401" s="37" t="s">
        <v>1314</v>
      </c>
      <c r="G401" s="37"/>
      <c r="H401" s="37"/>
    </row>
    <row r="402" spans="2:8" ht="60">
      <c r="B402" t="s">
        <v>541</v>
      </c>
      <c r="D402" t="s">
        <v>681</v>
      </c>
      <c r="E402" s="37" t="s">
        <v>809</v>
      </c>
    </row>
  </sheetData>
  <phoneticPr fontId="17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51C4C8-C5FD-4E2F-AF1F-80071AAD48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NitroCELL_MAIN</vt:lpstr>
      <vt:lpstr>getInstances</vt:lpstr>
      <vt:lpstr>Data</vt:lpstr>
      <vt:lpstr>extractInstToPart</vt:lpstr>
      <vt:lpstr>NitroCELL_IF_EXAMPLES</vt:lpstr>
      <vt:lpstr>NitroCELL_MATRIX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davidbigelow</dc:creator>
  <cp:lastModifiedBy>Adam Andrews</cp:lastModifiedBy>
  <dcterms:created xsi:type="dcterms:W3CDTF">2019-08-24T15:50:26Z</dcterms:created>
  <dcterms:modified xsi:type="dcterms:W3CDTF">2026-06-24T01:17:58Z</dcterms:modified>
</cp:coreProperties>
</file>